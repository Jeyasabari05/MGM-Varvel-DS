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<sst xmlns="http://schemas.openxmlformats.org/spreadsheetml/2006/main" count="1028" uniqueCount="203">
  <si>
    <t xml:space="preserve">  </t>
  </si>
  <si>
    <t>Motor Type</t>
  </si>
  <si>
    <t>SM/BA/BM</t>
  </si>
  <si>
    <t>BMX</t>
  </si>
  <si>
    <t xml:space="preserve">Power Rating </t>
  </si>
  <si>
    <t>(kW)</t>
  </si>
  <si>
    <t>No. of Poles</t>
  </si>
  <si>
    <t>Frame Size</t>
  </si>
  <si>
    <t>63A</t>
  </si>
  <si>
    <t>63B</t>
  </si>
  <si>
    <t>71A</t>
  </si>
  <si>
    <t>71B</t>
  </si>
  <si>
    <t>80A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</si>
  <si>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</si>
  <si>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</si>
  <si>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</si>
  <si>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</si>
  <si>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</si>
  <si>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</si>
  <si>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</si>
  <si>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</si>
  <si>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</si>
  <si>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</si>
  <si>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</si>
  <si>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</si>
  <si>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</si>
  <si>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</si>
  <si>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</si>
  <si>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Mounting</t>
  </si>
  <si>
    <t>IM B5</t>
  </si>
  <si>
    <t>Rated Voltage</t>
  </si>
  <si>
    <t>(V)</t>
  </si>
  <si>
    <t>240 / 415</t>
  </si>
  <si>
    <t>Stator Connection</t>
  </si>
  <si>
    <t>(Δ/Υ)</t>
  </si>
  <si>
    <t>Y</t>
  </si>
  <si>
    <t>Rated Frequency</t>
  </si>
  <si>
    <t>(Hz)</t>
  </si>
  <si>
    <t>Rated Current</t>
  </si>
  <si>
    <t>(Amps)</t>
  </si>
  <si>
    <t>0.62 / 0.36</t>
  </si>
  <si>
    <t>1.1 / 0.58</t>
  </si>
  <si>
    <t>1.31 / 0.76</t>
  </si>
  <si>
    <t>1.7 / 0.98</t>
  </si>
  <si>
    <t>2.45 / 1.14</t>
  </si>
  <si>
    <t>3.3 / 1.9</t>
  </si>
  <si>
    <t>4.3 / 2.5</t>
  </si>
  <si>
    <t>6.09 / 3.5</t>
  </si>
  <si>
    <t>8.2 / 4.7</t>
  </si>
  <si>
    <t>14.0 / 8.1</t>
  </si>
  <si>
    <t>19.1 / 11.1</t>
  </si>
  <si>
    <t>26.0 / 15.0</t>
  </si>
  <si>
    <t>37.7 / 21.8</t>
  </si>
  <si>
    <t>51.4 / 29.7</t>
  </si>
  <si>
    <t>64.55 / 37.1</t>
  </si>
  <si>
    <t>72.5 / 41.7</t>
  </si>
  <si>
    <t>92.568 / 53.2</t>
  </si>
  <si>
    <t>115.2 / 66.2</t>
  </si>
  <si>
    <t>137.9 / 79.3</t>
  </si>
  <si>
    <t>168 / 96.8</t>
  </si>
  <si>
    <t>Rated Speed</t>
  </si>
  <si>
    <t>(rpm)</t>
  </si>
  <si>
    <t>Rated Torque</t>
  </si>
  <si>
    <t>(Nm)</t>
  </si>
  <si>
    <t>Efficiency Class</t>
  </si>
  <si>
    <t>IE2</t>
  </si>
  <si>
    <t>Duty Type</t>
  </si>
  <si>
    <t>S1</t>
  </si>
  <si>
    <t>Insulation Class</t>
  </si>
  <si>
    <t>155(F) utilized to 130(B)</t>
  </si>
  <si>
    <t>Degree of protection</t>
  </si>
  <si>
    <t>IP 55</t>
  </si>
  <si>
    <t>Method of cooling</t>
  </si>
  <si>
    <t>TEFC / IC411</t>
  </si>
  <si>
    <t>Current - Locked rotor / Rated</t>
  </si>
  <si>
    <r>
      <rPr>
        <sz val="10"/>
        <color theme="1"/>
        <rFont val="Calibri"/>
        <charset val="134"/>
      </rPr>
      <t>I</t>
    </r>
    <r>
      <rPr>
        <sz val="6"/>
        <color theme="1"/>
        <rFont val="Calibri"/>
        <charset val="134"/>
      </rPr>
      <t>A</t>
    </r>
    <r>
      <rPr>
        <sz val="10"/>
        <color theme="1"/>
        <rFont val="Calibri"/>
        <charset val="134"/>
      </rPr>
      <t xml:space="preserve"> / I</t>
    </r>
    <r>
      <rPr>
        <sz val="6"/>
        <color theme="1"/>
        <rFont val="Calibri"/>
        <charset val="134"/>
      </rPr>
      <t>N</t>
    </r>
  </si>
  <si>
    <t>Torque - Locked rotor / Rated</t>
  </si>
  <si>
    <r>
      <rPr>
        <sz val="10"/>
        <color theme="1"/>
        <rFont val="Calibri"/>
        <charset val="134"/>
      </rPr>
      <t>M</t>
    </r>
    <r>
      <rPr>
        <sz val="6"/>
        <color theme="1"/>
        <rFont val="Calibri"/>
        <charset val="134"/>
      </rPr>
      <t>A</t>
    </r>
    <r>
      <rPr>
        <sz val="10"/>
        <color theme="1"/>
        <rFont val="Calibri"/>
        <charset val="134"/>
      </rPr>
      <t xml:space="preserve"> / M</t>
    </r>
    <r>
      <rPr>
        <sz val="6"/>
        <color theme="1"/>
        <rFont val="Calibri"/>
        <charset val="134"/>
      </rPr>
      <t>N</t>
    </r>
  </si>
  <si>
    <t>Torque - Breakdown / Rated</t>
  </si>
  <si>
    <r>
      <rPr>
        <sz val="10"/>
        <color theme="1"/>
        <rFont val="Calibri"/>
        <charset val="134"/>
      </rPr>
      <t>M</t>
    </r>
    <r>
      <rPr>
        <sz val="6"/>
        <color theme="1"/>
        <rFont val="Calibri"/>
        <charset val="134"/>
      </rPr>
      <t>k</t>
    </r>
    <r>
      <rPr>
        <sz val="10"/>
        <color theme="1"/>
        <rFont val="Calibri"/>
        <charset val="134"/>
      </rPr>
      <t xml:space="preserve"> / M</t>
    </r>
    <r>
      <rPr>
        <sz val="6"/>
        <color theme="1"/>
        <rFont val="Calibri"/>
        <charset val="134"/>
      </rPr>
      <t>N</t>
    </r>
  </si>
  <si>
    <t>Efficiency</t>
  </si>
  <si>
    <t>Power Factor</t>
  </si>
  <si>
    <t>Environmental condition</t>
  </si>
  <si>
    <t>+ 40°C / 1000m</t>
  </si>
  <si>
    <t>Locked rotor time</t>
  </si>
  <si>
    <t>Hot (sec)</t>
  </si>
  <si>
    <t>Italy</t>
  </si>
  <si>
    <t>Cold (sec)</t>
  </si>
  <si>
    <t>Moment of inertia</t>
  </si>
  <si>
    <r>
      <rPr>
        <sz val="10"/>
        <color theme="1"/>
        <rFont val="Calibri"/>
        <charset val="134"/>
      </rPr>
      <t>(kg.m</t>
    </r>
    <r>
      <rPr>
        <sz val="10"/>
        <color theme="1"/>
        <rFont val="Calibri"/>
        <charset val="134"/>
      </rPr>
      <t>²</t>
    </r>
    <r>
      <rPr>
        <sz val="10"/>
        <color theme="1"/>
        <rFont val="Calibri"/>
        <charset val="134"/>
      </rPr>
      <t>)</t>
    </r>
  </si>
  <si>
    <t>Bearing</t>
  </si>
  <si>
    <t>DE</t>
  </si>
  <si>
    <t>6202Z</t>
  </si>
  <si>
    <t>6203Z</t>
  </si>
  <si>
    <t>6204Z</t>
  </si>
  <si>
    <t>6205Z</t>
  </si>
  <si>
    <t>6206Z</t>
  </si>
  <si>
    <t>6306Z</t>
  </si>
  <si>
    <t>6308Z</t>
  </si>
  <si>
    <t>6309Z</t>
  </si>
  <si>
    <t>6310Z</t>
  </si>
  <si>
    <t>6312Z</t>
  </si>
  <si>
    <t>6214Z</t>
  </si>
  <si>
    <t>6316Z</t>
  </si>
  <si>
    <t>NDE</t>
  </si>
  <si>
    <t>9309Z</t>
  </si>
  <si>
    <t>6314Z</t>
  </si>
  <si>
    <t>Bearing life time</t>
  </si>
  <si>
    <t>(Hrs)</t>
  </si>
  <si>
    <t>Lubrication type</t>
  </si>
  <si>
    <t>Pre-lubricated</t>
  </si>
  <si>
    <t>Material</t>
  </si>
  <si>
    <t>Housing</t>
  </si>
  <si>
    <t>Aluminium</t>
  </si>
  <si>
    <t>Cast iron</t>
  </si>
  <si>
    <t>Flange</t>
  </si>
  <si>
    <t>Motor weight</t>
  </si>
  <si>
    <t>(kgs)</t>
  </si>
  <si>
    <t>Lifting eyebolt size</t>
  </si>
  <si>
    <t>NA</t>
  </si>
  <si>
    <t>Lifting Lug</t>
  </si>
  <si>
    <t>M12</t>
  </si>
  <si>
    <t>Voltage variation</t>
  </si>
  <si>
    <t>±10%</t>
  </si>
  <si>
    <t>Frequency variation</t>
  </si>
  <si>
    <t>±5%</t>
  </si>
  <si>
    <t>Combined variation</t>
  </si>
  <si>
    <t>Terminal box position</t>
  </si>
  <si>
    <t>(Viewing from NDE)</t>
  </si>
  <si>
    <t>Top</t>
  </si>
  <si>
    <t>Left Side</t>
  </si>
  <si>
    <t>Material of terminal box</t>
  </si>
  <si>
    <t>Type of terminal box</t>
  </si>
  <si>
    <t>Std + DM</t>
  </si>
  <si>
    <t>Std</t>
  </si>
  <si>
    <t>Terminal size</t>
  </si>
  <si>
    <t>M4</t>
  </si>
  <si>
    <t>M6</t>
  </si>
  <si>
    <t>M8</t>
  </si>
  <si>
    <t>No of terminals</t>
  </si>
  <si>
    <t>Cable entry thread size</t>
  </si>
  <si>
    <t>2xM16x1.5</t>
  </si>
  <si>
    <t>2xM20x1.5</t>
  </si>
  <si>
    <t>2xM25x1.5</t>
  </si>
  <si>
    <t>2xM32x1.5</t>
  </si>
  <si>
    <t>2xM40x1.5</t>
  </si>
  <si>
    <t>2xM50x1.5</t>
  </si>
  <si>
    <t>No. of cable glands</t>
  </si>
  <si>
    <t>Nos</t>
  </si>
  <si>
    <t>Cable diameter (min - max)</t>
  </si>
  <si>
    <t>mm</t>
  </si>
  <si>
    <t>5 - 10</t>
  </si>
  <si>
    <t>6 - 12</t>
  </si>
  <si>
    <t>13 - 18</t>
  </si>
  <si>
    <t>18 - 25</t>
  </si>
  <si>
    <t>22 - 32</t>
  </si>
  <si>
    <t>32 - 38</t>
  </si>
  <si>
    <t>Max. Cable size</t>
  </si>
  <si>
    <r>
      <rPr>
        <sz val="10"/>
        <color theme="1"/>
        <rFont val="Calibri"/>
        <charset val="134"/>
      </rPr>
      <t>mm</t>
    </r>
    <r>
      <rPr>
        <sz val="10"/>
        <color theme="1"/>
        <rFont val="Calibri"/>
        <charset val="134"/>
      </rPr>
      <t>²</t>
    </r>
  </si>
  <si>
    <t>-</t>
  </si>
  <si>
    <t>3Cx1.5</t>
  </si>
  <si>
    <t>3Cx6.0</t>
  </si>
  <si>
    <t>3Cx35</t>
  </si>
  <si>
    <t>3Cx70</t>
  </si>
  <si>
    <t>3Cx120</t>
  </si>
  <si>
    <t>Painting cycle</t>
  </si>
  <si>
    <t>Std paint finish</t>
  </si>
  <si>
    <t>Color / Paint Shade</t>
  </si>
  <si>
    <t>RAL 5010 Blue</t>
  </si>
  <si>
    <t>Reference standard</t>
  </si>
  <si>
    <t>IS : 12615 / IEC 60034-2</t>
  </si>
  <si>
    <t>IS : 12615 / IEC 60034-1</t>
  </si>
  <si>
    <t>IS : 12615 / IEC 60034-0</t>
  </si>
  <si>
    <t>Vibration severity grade</t>
  </si>
  <si>
    <t>A (Standard)</t>
  </si>
  <si>
    <t>Sound pressure level - 50Hz</t>
  </si>
  <si>
    <t>dB(A)</t>
  </si>
  <si>
    <t>Brake type</t>
  </si>
  <si>
    <t>(AC / DC)</t>
  </si>
  <si>
    <t>DC</t>
  </si>
  <si>
    <t>Input supply voltage</t>
  </si>
  <si>
    <t>(V) (AC)</t>
  </si>
  <si>
    <t>No. of Phase</t>
  </si>
  <si>
    <t>1ø</t>
  </si>
  <si>
    <t>Brake coil voltage</t>
  </si>
  <si>
    <t>(V) (DC)</t>
  </si>
  <si>
    <t>Brake torque</t>
  </si>
  <si>
    <t>Brake safety factor</t>
  </si>
  <si>
    <t>YTP</t>
  </si>
  <si>
    <t>Brake reaction time</t>
  </si>
  <si>
    <t>(m.sec)</t>
  </si>
  <si>
    <t>Brake current</t>
  </si>
  <si>
    <t>(A)</t>
  </si>
  <si>
    <t>Data Sheet No.</t>
  </si>
  <si>
    <t>PD Drg No.</t>
  </si>
  <si>
    <t>Avl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</si>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</sst>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11"/>
      <color theme="1"/>
      <name val="Calibri"/>
      <charset val="134"/>
    </font>
    <font>
      <sz val="11"/>
      <color rgb="FF000000"/>
      <name val="Calibri"/>
      <charset val="134"/>
    </font>
    <font>
      <sz val="10"/>
      <color theme="1"/>
      <name val="Calibri"/>
      <charset val="134"/>
    </font>
    <font>
      <sz val="11"/>
      <name val="Calibri"/>
      <charset val="134"/>
      <scheme val="minor"/>
    </font>
    <font>
      <b/>
      <sz val="11"/>
      <color rgb="FFFF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6"/>
      <color theme="1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2" applyNumberFormat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5" borderId="12" applyNumberFormat="0" applyAlignment="0" applyProtection="0">
      <alignment vertical="center"/>
    </xf>
    <xf numFmtId="0" fontId="18" fillId="6" borderId="14" applyNumberFormat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43">
    <xf numFmtId="0" fontId="0" fillId="0" borderId="0" xfId="0" applyFont="1" applyAlignment="1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80" fontId="1" fillId="0" borderId="3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80" fontId="1" fillId="0" borderId="1" xfId="0" applyNumberFormat="1" applyFont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9" fontId="1" fillId="2" borderId="5" xfId="0" applyNumberFormat="1" applyFont="1" applyFill="1" applyBorder="1" applyAlignment="1">
      <alignment horizontal="left" vertical="center"/>
    </xf>
    <xf numFmtId="0" fontId="5" fillId="0" borderId="6" xfId="0" applyFont="1" applyBorder="1"/>
    <xf numFmtId="9" fontId="1" fillId="2" borderId="3" xfId="0" applyNumberFormat="1" applyFont="1" applyFill="1" applyBorder="1" applyAlignment="1">
      <alignment horizontal="left" vertical="center"/>
    </xf>
    <xf numFmtId="0" fontId="5" fillId="0" borderId="7" xfId="0" applyFont="1" applyBorder="1"/>
    <xf numFmtId="9" fontId="1" fillId="2" borderId="8" xfId="0" applyNumberFormat="1" applyFont="1" applyFill="1" applyBorder="1" applyAlignment="1">
      <alignment horizontal="left" vertical="center"/>
    </xf>
    <xf numFmtId="2" fontId="1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49" fontId="4" fillId="2" borderId="2" xfId="0" applyNumberFormat="1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49" fontId="4" fillId="0" borderId="3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4" fillId="2" borderId="2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2" fontId="6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A1000"/>
  <sheetViews>
    <sheetView tabSelected="1" workbookViewId="0">
      <pane ySplit="4" topLeftCell="A24" activePane="bottomLeft" state="frozen"/>
      <selection/>
      <selection pane="bottomLeft" activeCell="B6" sqref="B6"/>
    </sheetView>
  </sheetViews>
  <sheetFormatPr defaultColWidth="14.4259259259259" defaultRowHeight="15" customHeight="1"/>
  <cols>
    <col min="1" max="1" width="5.57407407407407" customWidth="1"/>
    <col min="2" max="2" width="26.712962962963" customWidth="1"/>
    <col min="3" max="8" width="12" customWidth="1"/>
    <col min="9" max="23" width="13.712962962963" customWidth="1"/>
    <col min="24" max="27" width="8.71296296296296" customWidth="1"/>
  </cols>
  <sheetData>
    <row r="1" ht="19.5" customHeight="1" spans="1:27">
      <c r="A1" s="1" t="s">
        <v>0</v>
      </c>
      <c r="B1" s="2" t="s">
        <v>1</v>
      </c>
      <c r="C1" s="3" t="s">
        <v>2</v>
      </c>
      <c r="D1" s="3" t="s">
        <v>3</v>
      </c>
      <c r="E1" s="3" t="s">
        <v>3</v>
      </c>
      <c r="F1" s="3" t="s">
        <v>3</v>
      </c>
      <c r="G1" s="3" t="s">
        <v>3</v>
      </c>
      <c r="H1" s="3" t="s">
        <v>3</v>
      </c>
      <c r="I1" s="3" t="s">
        <v>3</v>
      </c>
      <c r="J1" s="3" t="s">
        <v>3</v>
      </c>
      <c r="K1" s="3" t="s">
        <v>3</v>
      </c>
      <c r="L1" s="3" t="s">
        <v>3</v>
      </c>
      <c r="M1" s="3" t="s">
        <v>3</v>
      </c>
      <c r="N1" s="3" t="s">
        <v>3</v>
      </c>
      <c r="O1" s="3" t="s">
        <v>3</v>
      </c>
      <c r="P1" s="3" t="s">
        <v>3</v>
      </c>
      <c r="Q1" s="3" t="s">
        <v>3</v>
      </c>
      <c r="R1" s="3" t="s">
        <v>3</v>
      </c>
      <c r="S1" s="3" t="s">
        <v>3</v>
      </c>
      <c r="T1" s="3" t="s">
        <v>3</v>
      </c>
      <c r="U1" s="3" t="s">
        <v>3</v>
      </c>
      <c r="V1" s="3" t="s">
        <v>3</v>
      </c>
      <c r="W1" s="3" t="s">
        <v>3</v>
      </c>
      <c r="X1" s="4"/>
      <c r="Y1" s="4"/>
      <c r="Z1" s="4"/>
      <c r="AA1" s="4"/>
    </row>
    <row r="2" ht="19.5" customHeight="1" spans="1:27">
      <c r="A2" s="1">
        <v>2</v>
      </c>
      <c r="B2" s="2" t="s">
        <v>4</v>
      </c>
      <c r="C2" s="3" t="s">
        <v>5</v>
      </c>
      <c r="D2" s="5">
        <v>0.12</v>
      </c>
      <c r="E2" s="5">
        <v>0.18</v>
      </c>
      <c r="F2" s="5">
        <v>0.25</v>
      </c>
      <c r="G2" s="5">
        <v>0.37</v>
      </c>
      <c r="H2" s="5">
        <v>0.55</v>
      </c>
      <c r="I2" s="6">
        <v>0.75</v>
      </c>
      <c r="J2" s="6">
        <v>1.1</v>
      </c>
      <c r="K2" s="6">
        <v>1.5</v>
      </c>
      <c r="L2" s="6">
        <v>2.2</v>
      </c>
      <c r="M2" s="6">
        <v>3.7</v>
      </c>
      <c r="N2" s="6">
        <v>5.5</v>
      </c>
      <c r="O2" s="6">
        <v>7.5</v>
      </c>
      <c r="P2" s="6">
        <v>11</v>
      </c>
      <c r="Q2" s="6">
        <v>15</v>
      </c>
      <c r="R2" s="6">
        <v>18.5</v>
      </c>
      <c r="S2" s="6">
        <v>22</v>
      </c>
      <c r="T2" s="6">
        <v>30</v>
      </c>
      <c r="U2" s="6">
        <v>37</v>
      </c>
      <c r="V2" s="6">
        <v>45</v>
      </c>
      <c r="W2" s="6">
        <v>55</v>
      </c>
      <c r="X2" s="7"/>
      <c r="Y2" s="7"/>
      <c r="Z2" s="7"/>
      <c r="AA2" s="7"/>
    </row>
    <row r="3" ht="19.5" customHeight="1" spans="1:27">
      <c r="A3" s="1">
        <v>3</v>
      </c>
      <c r="B3" s="2" t="s">
        <v>6</v>
      </c>
      <c r="C3" s="3"/>
      <c r="D3" s="3">
        <v>4</v>
      </c>
      <c r="E3" s="3">
        <v>4</v>
      </c>
      <c r="F3" s="3">
        <v>4</v>
      </c>
      <c r="G3" s="3">
        <v>4</v>
      </c>
      <c r="H3" s="3">
        <v>4</v>
      </c>
      <c r="I3" s="1">
        <v>4</v>
      </c>
      <c r="J3" s="1">
        <v>4</v>
      </c>
      <c r="K3" s="1">
        <v>4</v>
      </c>
      <c r="L3" s="1">
        <v>4</v>
      </c>
      <c r="M3" s="1">
        <v>4</v>
      </c>
      <c r="N3" s="1">
        <v>4</v>
      </c>
      <c r="O3" s="1">
        <v>4</v>
      </c>
      <c r="P3" s="1">
        <v>4</v>
      </c>
      <c r="Q3" s="1">
        <v>4</v>
      </c>
      <c r="R3" s="1">
        <v>4</v>
      </c>
      <c r="S3" s="1">
        <v>4</v>
      </c>
      <c r="T3" s="1">
        <v>4</v>
      </c>
      <c r="U3" s="1">
        <v>4</v>
      </c>
      <c r="V3" s="1">
        <v>4</v>
      </c>
      <c r="W3" s="1">
        <v>4</v>
      </c>
      <c r="X3" s="4"/>
      <c r="Y3" s="4"/>
      <c r="Z3" s="4"/>
      <c r="AA3" s="4"/>
    </row>
    <row r="4" ht="19.5" customHeight="1" spans="1:27">
      <c r="A4" s="1">
        <v>4</v>
      </c>
      <c r="B4" s="2" t="s">
        <v>7</v>
      </c>
      <c r="C4" s="3"/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  <c r="N4" s="6" t="s">
        <v>18</v>
      </c>
      <c r="O4" s="6" t="s">
        <v>19</v>
      </c>
      <c r="P4" s="6" t="s">
        <v>20</v>
      </c>
      <c r="Q4" s="6" t="s">
        <v>21</v>
      </c>
      <c r="R4" s="6" t="s">
        <v>22</v>
      </c>
      <c r="S4" s="6" t="s">
        <v>23</v>
      </c>
      <c r="T4" s="6" t="s">
        <v>24</v>
      </c>
      <c r="U4" s="6" t="s">
        <v>25</v>
      </c>
      <c r="V4" s="6" t="s">
        <v>26</v>
      </c>
      <c r="W4" s="6" t="s">
        <v>27</v>
      </c>
      <c r="X4" s="7"/>
      <c r="Y4" s="7"/>
      <c r="Z4" s="7"/>
      <c r="AA4" s="7"/>
    </row>
    <row r="5" ht="19.5" customHeight="1" spans="1:27">
      <c r="A5" s="1">
        <v>5</v>
      </c>
      <c r="B5" s="2" t="s">
        <v>28</v>
      </c>
      <c r="C5" s="3"/>
      <c r="D5" s="8" t="s">
        <v>29</v>
      </c>
      <c r="E5" s="8" t="s">
        <v>29</v>
      </c>
      <c r="F5" s="8" t="s">
        <v>29</v>
      </c>
      <c r="G5" s="8" t="s">
        <v>29</v>
      </c>
      <c r="H5" s="8" t="s">
        <v>29</v>
      </c>
      <c r="I5" s="8" t="s">
        <v>29</v>
      </c>
      <c r="J5" s="8" t="s">
        <v>29</v>
      </c>
      <c r="K5" s="8" t="s">
        <v>29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29</v>
      </c>
      <c r="R5" s="8" t="s">
        <v>29</v>
      </c>
      <c r="S5" s="8" t="s">
        <v>29</v>
      </c>
      <c r="T5" s="8" t="s">
        <v>29</v>
      </c>
      <c r="U5" s="8" t="s">
        <v>29</v>
      </c>
      <c r="V5" s="8" t="s">
        <v>29</v>
      </c>
      <c r="W5" s="8" t="s">
        <v>29</v>
      </c>
      <c r="X5" s="9"/>
      <c r="Y5" s="9"/>
      <c r="Z5" s="9"/>
      <c r="AA5" s="9"/>
    </row>
    <row r="6" ht="19.5" customHeight="1" spans="1:27">
      <c r="A6" s="1">
        <v>6</v>
      </c>
      <c r="B6" s="2" t="s">
        <v>30</v>
      </c>
      <c r="C6" s="3" t="s">
        <v>31</v>
      </c>
      <c r="D6" s="8" t="s">
        <v>32</v>
      </c>
      <c r="E6" s="8" t="s">
        <v>32</v>
      </c>
      <c r="F6" s="8" t="s">
        <v>32</v>
      </c>
      <c r="G6" s="8" t="s">
        <v>32</v>
      </c>
      <c r="H6" s="8" t="s">
        <v>32</v>
      </c>
      <c r="I6" s="8" t="s">
        <v>32</v>
      </c>
      <c r="J6" s="8" t="s">
        <v>32</v>
      </c>
      <c r="K6" s="8" t="s">
        <v>32</v>
      </c>
      <c r="L6" s="8" t="s">
        <v>32</v>
      </c>
      <c r="M6" s="8" t="s">
        <v>32</v>
      </c>
      <c r="N6" s="8" t="s">
        <v>32</v>
      </c>
      <c r="O6" s="8" t="s">
        <v>32</v>
      </c>
      <c r="P6" s="8" t="s">
        <v>32</v>
      </c>
      <c r="Q6" s="8" t="s">
        <v>32</v>
      </c>
      <c r="R6" s="8" t="s">
        <v>32</v>
      </c>
      <c r="S6" s="8" t="s">
        <v>32</v>
      </c>
      <c r="T6" s="8" t="s">
        <v>32</v>
      </c>
      <c r="U6" s="8" t="s">
        <v>32</v>
      </c>
      <c r="V6" s="8" t="s">
        <v>32</v>
      </c>
      <c r="W6" s="8" t="s">
        <v>32</v>
      </c>
      <c r="X6" s="9"/>
      <c r="Y6" s="9"/>
      <c r="Z6" s="9"/>
      <c r="AA6" s="9"/>
    </row>
    <row r="7" ht="19.5" customHeight="1" spans="1:27">
      <c r="A7" s="1">
        <v>7</v>
      </c>
      <c r="B7" s="2" t="s">
        <v>33</v>
      </c>
      <c r="C7" s="3" t="s">
        <v>34</v>
      </c>
      <c r="D7" s="8" t="s">
        <v>35</v>
      </c>
      <c r="E7" s="8" t="s">
        <v>35</v>
      </c>
      <c r="F7" s="8" t="s">
        <v>35</v>
      </c>
      <c r="G7" s="8" t="s">
        <v>35</v>
      </c>
      <c r="H7" s="8" t="s">
        <v>35</v>
      </c>
      <c r="I7" s="8" t="s">
        <v>35</v>
      </c>
      <c r="J7" s="8" t="s">
        <v>35</v>
      </c>
      <c r="K7" s="8" t="s">
        <v>35</v>
      </c>
      <c r="L7" s="8" t="s">
        <v>35</v>
      </c>
      <c r="M7" s="8" t="s">
        <v>35</v>
      </c>
      <c r="N7" s="8" t="s">
        <v>35</v>
      </c>
      <c r="O7" s="8" t="s">
        <v>35</v>
      </c>
      <c r="P7" s="8" t="s">
        <v>35</v>
      </c>
      <c r="Q7" s="8" t="s">
        <v>35</v>
      </c>
      <c r="R7" s="8" t="s">
        <v>35</v>
      </c>
      <c r="S7" s="8" t="s">
        <v>35</v>
      </c>
      <c r="T7" s="8" t="s">
        <v>35</v>
      </c>
      <c r="U7" s="8" t="s">
        <v>35</v>
      </c>
      <c r="V7" s="8" t="s">
        <v>35</v>
      </c>
      <c r="W7" s="8" t="s">
        <v>35</v>
      </c>
      <c r="X7" s="9"/>
      <c r="Y7" s="9"/>
      <c r="Z7" s="9"/>
      <c r="AA7" s="9"/>
    </row>
    <row r="8" ht="19.5" customHeight="1" spans="1:27">
      <c r="A8" s="1">
        <v>8</v>
      </c>
      <c r="B8" s="2" t="s">
        <v>36</v>
      </c>
      <c r="C8" s="3" t="s">
        <v>37</v>
      </c>
      <c r="D8" s="8">
        <v>50</v>
      </c>
      <c r="E8" s="8">
        <v>50</v>
      </c>
      <c r="F8" s="8">
        <v>50</v>
      </c>
      <c r="G8" s="8">
        <v>50</v>
      </c>
      <c r="H8" s="8">
        <v>50</v>
      </c>
      <c r="I8" s="8">
        <v>50</v>
      </c>
      <c r="J8" s="8">
        <v>50</v>
      </c>
      <c r="K8" s="8">
        <v>50</v>
      </c>
      <c r="L8" s="8">
        <v>50</v>
      </c>
      <c r="M8" s="8">
        <v>50</v>
      </c>
      <c r="N8" s="8">
        <v>50</v>
      </c>
      <c r="O8" s="8">
        <v>50</v>
      </c>
      <c r="P8" s="8">
        <v>50</v>
      </c>
      <c r="Q8" s="8">
        <v>50</v>
      </c>
      <c r="R8" s="8">
        <v>50</v>
      </c>
      <c r="S8" s="8">
        <v>50</v>
      </c>
      <c r="T8" s="8">
        <v>50</v>
      </c>
      <c r="U8" s="8">
        <v>50</v>
      </c>
      <c r="V8" s="8">
        <v>50</v>
      </c>
      <c r="W8" s="8">
        <v>50</v>
      </c>
      <c r="X8" s="9"/>
      <c r="Y8" s="9"/>
      <c r="Z8" s="9"/>
      <c r="AA8" s="9"/>
    </row>
    <row r="9" ht="19.5" customHeight="1" spans="1:27">
      <c r="A9" s="1">
        <v>9</v>
      </c>
      <c r="B9" s="2" t="s">
        <v>38</v>
      </c>
      <c r="C9" s="3" t="s">
        <v>39</v>
      </c>
      <c r="D9" s="10" t="s">
        <v>40</v>
      </c>
      <c r="E9" s="10" t="s">
        <v>41</v>
      </c>
      <c r="F9" s="10" t="s">
        <v>42</v>
      </c>
      <c r="G9" s="11" t="s">
        <v>43</v>
      </c>
      <c r="H9" s="10" t="s">
        <v>44</v>
      </c>
      <c r="I9" s="11" t="s">
        <v>45</v>
      </c>
      <c r="J9" s="11" t="s">
        <v>46</v>
      </c>
      <c r="K9" s="10" t="s">
        <v>47</v>
      </c>
      <c r="L9" s="11" t="s">
        <v>48</v>
      </c>
      <c r="M9" s="11" t="s">
        <v>49</v>
      </c>
      <c r="N9" s="11" t="s">
        <v>50</v>
      </c>
      <c r="O9" s="11" t="s">
        <v>51</v>
      </c>
      <c r="P9" s="11" t="s">
        <v>52</v>
      </c>
      <c r="Q9" s="11" t="s">
        <v>53</v>
      </c>
      <c r="R9" s="10" t="s">
        <v>54</v>
      </c>
      <c r="S9" s="10" t="s">
        <v>55</v>
      </c>
      <c r="T9" s="10" t="s">
        <v>56</v>
      </c>
      <c r="U9" s="10" t="s">
        <v>57</v>
      </c>
      <c r="V9" s="10" t="s">
        <v>58</v>
      </c>
      <c r="W9" s="10" t="s">
        <v>59</v>
      </c>
      <c r="X9" s="9"/>
      <c r="Y9" s="9"/>
      <c r="Z9" s="9"/>
      <c r="AA9" s="9"/>
    </row>
    <row r="10" ht="19.5" customHeight="1" spans="1:27">
      <c r="A10" s="1">
        <v>10</v>
      </c>
      <c r="B10" s="2" t="s">
        <v>60</v>
      </c>
      <c r="C10" s="3" t="s">
        <v>61</v>
      </c>
      <c r="D10" s="10">
        <v>1300</v>
      </c>
      <c r="E10" s="10">
        <v>1340</v>
      </c>
      <c r="F10" s="10">
        <v>1400</v>
      </c>
      <c r="G10" s="11">
        <v>1415</v>
      </c>
      <c r="H10" s="10">
        <v>1408</v>
      </c>
      <c r="I10" s="11">
        <v>1415</v>
      </c>
      <c r="J10" s="11">
        <v>1420</v>
      </c>
      <c r="K10" s="10">
        <v>1430</v>
      </c>
      <c r="L10" s="11">
        <v>1446</v>
      </c>
      <c r="M10" s="11">
        <v>1456</v>
      </c>
      <c r="N10" s="11">
        <v>1453</v>
      </c>
      <c r="O10" s="11">
        <v>1457</v>
      </c>
      <c r="P10" s="11">
        <v>1460</v>
      </c>
      <c r="Q10" s="11">
        <v>1460</v>
      </c>
      <c r="R10" s="10">
        <v>1475</v>
      </c>
      <c r="S10" s="10">
        <v>1472</v>
      </c>
      <c r="T10" s="10">
        <v>1475</v>
      </c>
      <c r="U10" s="10">
        <v>1480</v>
      </c>
      <c r="V10" s="10">
        <v>1480</v>
      </c>
      <c r="W10" s="10">
        <v>1480</v>
      </c>
      <c r="X10" s="9"/>
      <c r="Y10" s="9"/>
      <c r="Z10" s="9"/>
      <c r="AA10" s="9"/>
    </row>
    <row r="11" ht="19.5" customHeight="1" spans="1:27">
      <c r="A11" s="1">
        <v>11</v>
      </c>
      <c r="B11" s="2" t="s">
        <v>62</v>
      </c>
      <c r="C11" s="3" t="s">
        <v>63</v>
      </c>
      <c r="D11" s="10">
        <v>0.8</v>
      </c>
      <c r="E11" s="10">
        <v>1.3</v>
      </c>
      <c r="F11" s="10">
        <v>1.7</v>
      </c>
      <c r="G11" s="12">
        <v>2.6</v>
      </c>
      <c r="H11" s="10">
        <v>3.6</v>
      </c>
      <c r="I11" s="12">
        <v>5</v>
      </c>
      <c r="J11" s="11">
        <v>7.5</v>
      </c>
      <c r="K11" s="10">
        <v>10</v>
      </c>
      <c r="L11" s="11">
        <v>14.7</v>
      </c>
      <c r="M11" s="11">
        <v>24.3</v>
      </c>
      <c r="N11" s="11">
        <v>36.1</v>
      </c>
      <c r="O11" s="11">
        <v>49.3</v>
      </c>
      <c r="P11" s="11">
        <v>71.9</v>
      </c>
      <c r="Q11" s="11">
        <v>98.3</v>
      </c>
      <c r="R11" s="10">
        <v>119.8</v>
      </c>
      <c r="S11" s="10">
        <v>142.4</v>
      </c>
      <c r="T11" s="10">
        <v>194.2</v>
      </c>
      <c r="U11" s="10">
        <v>238.7</v>
      </c>
      <c r="V11" s="10">
        <v>290.4</v>
      </c>
      <c r="W11" s="10">
        <v>354.88</v>
      </c>
      <c r="X11" s="9"/>
      <c r="Y11" s="9"/>
      <c r="Z11" s="9"/>
      <c r="AA11" s="9"/>
    </row>
    <row r="12" ht="19.5" customHeight="1" spans="1:27">
      <c r="A12" s="1">
        <v>12</v>
      </c>
      <c r="B12" s="2" t="s">
        <v>64</v>
      </c>
      <c r="C12" s="3"/>
      <c r="D12" s="8" t="s">
        <v>65</v>
      </c>
      <c r="E12" s="8" t="s">
        <v>65</v>
      </c>
      <c r="F12" s="8" t="s">
        <v>65</v>
      </c>
      <c r="G12" s="8" t="s">
        <v>65</v>
      </c>
      <c r="H12" s="8" t="s">
        <v>65</v>
      </c>
      <c r="I12" s="8" t="s">
        <v>65</v>
      </c>
      <c r="J12" s="8" t="s">
        <v>65</v>
      </c>
      <c r="K12" s="8" t="s">
        <v>65</v>
      </c>
      <c r="L12" s="8" t="s">
        <v>65</v>
      </c>
      <c r="M12" s="8" t="s">
        <v>65</v>
      </c>
      <c r="N12" s="8" t="s">
        <v>65</v>
      </c>
      <c r="O12" s="8" t="s">
        <v>65</v>
      </c>
      <c r="P12" s="8" t="s">
        <v>65</v>
      </c>
      <c r="Q12" s="8" t="s">
        <v>65</v>
      </c>
      <c r="R12" s="8" t="s">
        <v>65</v>
      </c>
      <c r="S12" s="8" t="s">
        <v>65</v>
      </c>
      <c r="T12" s="8" t="s">
        <v>65</v>
      </c>
      <c r="U12" s="8" t="s">
        <v>65</v>
      </c>
      <c r="V12" s="8" t="s">
        <v>65</v>
      </c>
      <c r="W12" s="8" t="s">
        <v>65</v>
      </c>
      <c r="X12" s="9"/>
      <c r="Y12" s="9"/>
      <c r="Z12" s="9"/>
      <c r="AA12" s="9"/>
    </row>
    <row r="13" ht="19.5" customHeight="1" spans="1:27">
      <c r="A13" s="1">
        <v>13</v>
      </c>
      <c r="B13" s="2" t="s">
        <v>66</v>
      </c>
      <c r="C13" s="3"/>
      <c r="D13" s="8" t="s">
        <v>67</v>
      </c>
      <c r="E13" s="8" t="s">
        <v>67</v>
      </c>
      <c r="F13" s="8" t="s">
        <v>67</v>
      </c>
      <c r="G13" s="8" t="s">
        <v>67</v>
      </c>
      <c r="H13" s="8" t="s">
        <v>67</v>
      </c>
      <c r="I13" s="8" t="s">
        <v>67</v>
      </c>
      <c r="J13" s="8" t="s">
        <v>67</v>
      </c>
      <c r="K13" s="8" t="s">
        <v>67</v>
      </c>
      <c r="L13" s="8" t="s">
        <v>67</v>
      </c>
      <c r="M13" s="8" t="s">
        <v>67</v>
      </c>
      <c r="N13" s="8" t="s">
        <v>67</v>
      </c>
      <c r="O13" s="8" t="s">
        <v>67</v>
      </c>
      <c r="P13" s="8" t="s">
        <v>67</v>
      </c>
      <c r="Q13" s="8" t="s">
        <v>67</v>
      </c>
      <c r="R13" s="8" t="s">
        <v>67</v>
      </c>
      <c r="S13" s="8" t="s">
        <v>67</v>
      </c>
      <c r="T13" s="8" t="s">
        <v>67</v>
      </c>
      <c r="U13" s="8" t="s">
        <v>67</v>
      </c>
      <c r="V13" s="8" t="s">
        <v>67</v>
      </c>
      <c r="W13" s="8" t="s">
        <v>67</v>
      </c>
      <c r="X13" s="9"/>
      <c r="Y13" s="9"/>
      <c r="Z13" s="9"/>
      <c r="AA13" s="9"/>
    </row>
    <row r="14" ht="19.5" customHeight="1" spans="1:27">
      <c r="A14" s="1">
        <v>14</v>
      </c>
      <c r="B14" s="2" t="s">
        <v>68</v>
      </c>
      <c r="C14" s="3"/>
      <c r="D14" s="13" t="s">
        <v>69</v>
      </c>
      <c r="E14" s="13" t="s">
        <v>69</v>
      </c>
      <c r="F14" s="13" t="s">
        <v>69</v>
      </c>
      <c r="G14" s="13" t="s">
        <v>69</v>
      </c>
      <c r="H14" s="13" t="s">
        <v>69</v>
      </c>
      <c r="I14" s="13" t="s">
        <v>69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69</v>
      </c>
      <c r="O14" s="13" t="s">
        <v>69</v>
      </c>
      <c r="P14" s="13" t="s">
        <v>69</v>
      </c>
      <c r="Q14" s="13" t="s">
        <v>69</v>
      </c>
      <c r="R14" s="13" t="s">
        <v>69</v>
      </c>
      <c r="S14" s="13" t="s">
        <v>69</v>
      </c>
      <c r="T14" s="13" t="s">
        <v>69</v>
      </c>
      <c r="U14" s="13" t="s">
        <v>69</v>
      </c>
      <c r="V14" s="13" t="s">
        <v>69</v>
      </c>
      <c r="W14" s="13" t="s">
        <v>69</v>
      </c>
      <c r="X14" s="9"/>
      <c r="Y14" s="9"/>
      <c r="Z14" s="9"/>
      <c r="AA14" s="9"/>
    </row>
    <row r="15" ht="19.5" customHeight="1" spans="1:27">
      <c r="A15" s="1">
        <v>15</v>
      </c>
      <c r="B15" s="2" t="s">
        <v>70</v>
      </c>
      <c r="C15" s="3"/>
      <c r="D15" s="8" t="s">
        <v>71</v>
      </c>
      <c r="E15" s="8" t="s">
        <v>71</v>
      </c>
      <c r="F15" s="8" t="s">
        <v>71</v>
      </c>
      <c r="G15" s="8" t="s">
        <v>71</v>
      </c>
      <c r="H15" s="8" t="s">
        <v>71</v>
      </c>
      <c r="I15" s="8" t="s">
        <v>71</v>
      </c>
      <c r="J15" s="8" t="s">
        <v>71</v>
      </c>
      <c r="K15" s="8" t="s">
        <v>71</v>
      </c>
      <c r="L15" s="8" t="s">
        <v>71</v>
      </c>
      <c r="M15" s="8" t="s">
        <v>71</v>
      </c>
      <c r="N15" s="8" t="s">
        <v>71</v>
      </c>
      <c r="O15" s="8" t="s">
        <v>71</v>
      </c>
      <c r="P15" s="8" t="s">
        <v>71</v>
      </c>
      <c r="Q15" s="8" t="s">
        <v>71</v>
      </c>
      <c r="R15" s="8" t="s">
        <v>71</v>
      </c>
      <c r="S15" s="8" t="s">
        <v>71</v>
      </c>
      <c r="T15" s="8" t="s">
        <v>71</v>
      </c>
      <c r="U15" s="8" t="s">
        <v>71</v>
      </c>
      <c r="V15" s="8" t="s">
        <v>71</v>
      </c>
      <c r="W15" s="8" t="s">
        <v>71</v>
      </c>
      <c r="X15" s="9"/>
      <c r="Y15" s="9"/>
      <c r="Z15" s="9"/>
      <c r="AA15" s="9"/>
    </row>
    <row r="16" ht="19.5" customHeight="1" spans="1:27">
      <c r="A16" s="1">
        <v>16</v>
      </c>
      <c r="B16" s="2" t="s">
        <v>72</v>
      </c>
      <c r="C16" s="3"/>
      <c r="D16" s="8" t="s">
        <v>73</v>
      </c>
      <c r="E16" s="8" t="s">
        <v>73</v>
      </c>
      <c r="F16" s="8" t="s">
        <v>73</v>
      </c>
      <c r="G16" s="8" t="s">
        <v>73</v>
      </c>
      <c r="H16" s="8" t="s">
        <v>73</v>
      </c>
      <c r="I16" s="8" t="s">
        <v>73</v>
      </c>
      <c r="J16" s="8" t="s">
        <v>73</v>
      </c>
      <c r="K16" s="8" t="s">
        <v>73</v>
      </c>
      <c r="L16" s="8" t="s">
        <v>73</v>
      </c>
      <c r="M16" s="8" t="s">
        <v>73</v>
      </c>
      <c r="N16" s="8" t="s">
        <v>73</v>
      </c>
      <c r="O16" s="8" t="s">
        <v>73</v>
      </c>
      <c r="P16" s="8" t="s">
        <v>73</v>
      </c>
      <c r="Q16" s="8" t="s">
        <v>73</v>
      </c>
      <c r="R16" s="8" t="s">
        <v>73</v>
      </c>
      <c r="S16" s="8" t="s">
        <v>73</v>
      </c>
      <c r="T16" s="8" t="s">
        <v>73</v>
      </c>
      <c r="U16" s="8" t="s">
        <v>73</v>
      </c>
      <c r="V16" s="8" t="s">
        <v>73</v>
      </c>
      <c r="W16" s="8" t="s">
        <v>73</v>
      </c>
      <c r="X16" s="9"/>
      <c r="Y16" s="9"/>
      <c r="Z16" s="9"/>
      <c r="AA16" s="9"/>
    </row>
    <row r="17" ht="19.5" customHeight="1" spans="1:27">
      <c r="A17" s="1">
        <v>17</v>
      </c>
      <c r="B17" s="2" t="s">
        <v>74</v>
      </c>
      <c r="C17" s="14" t="s">
        <v>75</v>
      </c>
      <c r="D17" s="15">
        <v>1</v>
      </c>
      <c r="E17" s="15">
        <v>1.6</v>
      </c>
      <c r="F17" s="15">
        <v>2.7</v>
      </c>
      <c r="G17" s="8">
        <v>4</v>
      </c>
      <c r="H17" s="15">
        <v>4.9</v>
      </c>
      <c r="I17" s="8">
        <v>8.7</v>
      </c>
      <c r="J17" s="8">
        <v>14.5</v>
      </c>
      <c r="K17" s="15">
        <v>21</v>
      </c>
      <c r="L17" s="16">
        <v>37.1</v>
      </c>
      <c r="M17" s="16">
        <v>64</v>
      </c>
      <c r="N17" s="16">
        <v>86.6</v>
      </c>
      <c r="O17" s="16">
        <v>109.5</v>
      </c>
      <c r="P17" s="16">
        <v>128.6</v>
      </c>
      <c r="Q17" s="16">
        <v>184.2</v>
      </c>
      <c r="R17" s="15">
        <v>337.6</v>
      </c>
      <c r="S17" s="15">
        <v>358</v>
      </c>
      <c r="T17" s="15">
        <v>477</v>
      </c>
      <c r="U17" s="15">
        <v>546</v>
      </c>
      <c r="V17" s="15">
        <v>377</v>
      </c>
      <c r="W17" s="15">
        <v>948</v>
      </c>
      <c r="X17" s="9"/>
      <c r="Y17" s="9"/>
      <c r="Z17" s="9"/>
      <c r="AA17" s="9"/>
    </row>
    <row r="18" ht="19.5" customHeight="1" spans="1:27">
      <c r="A18" s="1">
        <v>18</v>
      </c>
      <c r="B18" s="2" t="s">
        <v>76</v>
      </c>
      <c r="C18" s="14" t="s">
        <v>77</v>
      </c>
      <c r="D18" s="15">
        <v>1.8</v>
      </c>
      <c r="E18" s="15">
        <v>2.9</v>
      </c>
      <c r="F18" s="15">
        <v>3.4</v>
      </c>
      <c r="G18" s="8">
        <v>6.5</v>
      </c>
      <c r="H18" s="15">
        <v>8.6</v>
      </c>
      <c r="I18" s="8">
        <v>14.5</v>
      </c>
      <c r="J18" s="8">
        <v>20.3</v>
      </c>
      <c r="K18" s="15">
        <v>35</v>
      </c>
      <c r="L18" s="16">
        <v>51.5</v>
      </c>
      <c r="M18" s="16">
        <v>111.8</v>
      </c>
      <c r="N18" s="16">
        <v>122.7</v>
      </c>
      <c r="O18" s="16">
        <v>172.6</v>
      </c>
      <c r="P18" s="16">
        <v>172.6</v>
      </c>
      <c r="Q18" s="16">
        <v>294.9</v>
      </c>
      <c r="R18" s="15">
        <v>299.5</v>
      </c>
      <c r="S18" s="15">
        <v>404</v>
      </c>
      <c r="T18" s="15">
        <v>667</v>
      </c>
      <c r="U18" s="15">
        <v>600</v>
      </c>
      <c r="V18" s="15">
        <v>800</v>
      </c>
      <c r="W18" s="15">
        <v>887.2</v>
      </c>
      <c r="X18" s="9"/>
      <c r="Y18" s="9"/>
      <c r="Z18" s="9"/>
      <c r="AA18" s="9"/>
    </row>
    <row r="19" ht="19.5" customHeight="1" spans="1:27">
      <c r="A19" s="1">
        <v>19</v>
      </c>
      <c r="B19" s="2" t="s">
        <v>78</v>
      </c>
      <c r="C19" s="14" t="s">
        <v>79</v>
      </c>
      <c r="D19" s="15">
        <v>2.6</v>
      </c>
      <c r="E19" s="15">
        <v>2.7</v>
      </c>
      <c r="F19" s="15">
        <v>4.3</v>
      </c>
      <c r="G19" s="8">
        <v>6.8</v>
      </c>
      <c r="H19" s="15">
        <v>9.7</v>
      </c>
      <c r="I19" s="8">
        <v>15.5</v>
      </c>
      <c r="J19" s="8">
        <v>23.3</v>
      </c>
      <c r="K19" s="15">
        <v>38</v>
      </c>
      <c r="L19" s="16">
        <v>63.2</v>
      </c>
      <c r="M19" s="16">
        <v>121.5</v>
      </c>
      <c r="N19" s="16">
        <v>130</v>
      </c>
      <c r="O19" s="16">
        <v>167.6</v>
      </c>
      <c r="P19" s="16">
        <v>186.9</v>
      </c>
      <c r="Q19" s="16">
        <v>304.7</v>
      </c>
      <c r="R19" s="15">
        <v>311.4</v>
      </c>
      <c r="S19" s="15">
        <v>413</v>
      </c>
      <c r="T19" s="15">
        <v>730</v>
      </c>
      <c r="U19" s="15">
        <v>664</v>
      </c>
      <c r="V19" s="15">
        <v>820</v>
      </c>
      <c r="W19" s="15">
        <v>922.7</v>
      </c>
      <c r="X19" s="9"/>
      <c r="Y19" s="9"/>
      <c r="Z19" s="9"/>
      <c r="AA19" s="9"/>
    </row>
    <row r="20" ht="19.5" customHeight="1" spans="1:27">
      <c r="A20" s="1">
        <v>20</v>
      </c>
      <c r="B20" s="17" t="s">
        <v>80</v>
      </c>
      <c r="C20" s="18">
        <v>1</v>
      </c>
      <c r="D20" s="15">
        <v>60.1</v>
      </c>
      <c r="E20" s="15">
        <v>64.7</v>
      </c>
      <c r="F20" s="15">
        <v>68.5</v>
      </c>
      <c r="G20" s="8">
        <v>72.7</v>
      </c>
      <c r="H20" s="15">
        <v>76.5</v>
      </c>
      <c r="I20" s="8">
        <v>79.6</v>
      </c>
      <c r="J20" s="8">
        <v>81.5</v>
      </c>
      <c r="K20" s="15">
        <v>82.8</v>
      </c>
      <c r="L20" s="16">
        <v>85.5</v>
      </c>
      <c r="M20" s="16">
        <v>86.3</v>
      </c>
      <c r="N20" s="16">
        <v>87.8</v>
      </c>
      <c r="O20" s="16">
        <v>88.7</v>
      </c>
      <c r="P20" s="16">
        <v>89.8</v>
      </c>
      <c r="Q20" s="16">
        <v>89.8</v>
      </c>
      <c r="R20" s="15">
        <v>92.6</v>
      </c>
      <c r="S20" s="15">
        <v>91.6</v>
      </c>
      <c r="T20" s="15">
        <v>92.3</v>
      </c>
      <c r="U20" s="15">
        <v>92.7</v>
      </c>
      <c r="V20" s="15">
        <v>93.1</v>
      </c>
      <c r="W20" s="15">
        <v>93.5</v>
      </c>
      <c r="X20" s="9"/>
      <c r="Y20" s="9"/>
      <c r="Z20" s="9"/>
      <c r="AA20" s="9"/>
    </row>
    <row r="21" ht="19.5" customHeight="1" spans="1:27">
      <c r="A21" s="1">
        <v>21</v>
      </c>
      <c r="B21" s="19"/>
      <c r="C21" s="20">
        <v>0.75</v>
      </c>
      <c r="D21" s="15">
        <v>59.6</v>
      </c>
      <c r="E21" s="15">
        <v>62.5</v>
      </c>
      <c r="F21" s="15">
        <v>66.3</v>
      </c>
      <c r="G21" s="16">
        <v>73</v>
      </c>
      <c r="H21" s="15">
        <v>76.1</v>
      </c>
      <c r="I21" s="8">
        <v>81.3</v>
      </c>
      <c r="J21" s="8">
        <v>80.9</v>
      </c>
      <c r="K21" s="15">
        <v>81.5</v>
      </c>
      <c r="L21" s="16">
        <v>86.2</v>
      </c>
      <c r="M21" s="16">
        <v>86.7</v>
      </c>
      <c r="N21" s="16">
        <v>88.3</v>
      </c>
      <c r="O21" s="16">
        <v>88.6</v>
      </c>
      <c r="P21" s="16">
        <v>90.3</v>
      </c>
      <c r="Q21" s="16">
        <v>90.6</v>
      </c>
      <c r="R21" s="15">
        <v>92.5</v>
      </c>
      <c r="S21" s="15">
        <v>91.1</v>
      </c>
      <c r="T21" s="15">
        <v>93.4</v>
      </c>
      <c r="U21" s="15">
        <v>92.7</v>
      </c>
      <c r="V21" s="15">
        <v>93.6</v>
      </c>
      <c r="W21" s="15">
        <v>93.5</v>
      </c>
      <c r="X21" s="9"/>
      <c r="Y21" s="9"/>
      <c r="Z21" s="9"/>
      <c r="AA21" s="9"/>
    </row>
    <row r="22" ht="19.5" customHeight="1" spans="1:27">
      <c r="A22" s="1">
        <v>22</v>
      </c>
      <c r="B22" s="21"/>
      <c r="C22" s="22">
        <v>0.5</v>
      </c>
      <c r="D22" s="15">
        <v>53.2</v>
      </c>
      <c r="E22" s="15">
        <v>51.4</v>
      </c>
      <c r="F22" s="15">
        <v>61.4</v>
      </c>
      <c r="G22" s="8">
        <v>70.3</v>
      </c>
      <c r="H22" s="15">
        <v>72.5</v>
      </c>
      <c r="I22" s="8">
        <v>79.7</v>
      </c>
      <c r="J22" s="8">
        <v>79.3</v>
      </c>
      <c r="K22" s="15">
        <v>79.1</v>
      </c>
      <c r="L22" s="16">
        <v>84.5</v>
      </c>
      <c r="M22" s="16">
        <v>84.7</v>
      </c>
      <c r="N22" s="16">
        <v>87.3</v>
      </c>
      <c r="O22" s="16">
        <v>87.5</v>
      </c>
      <c r="P22" s="16">
        <v>90</v>
      </c>
      <c r="Q22" s="16">
        <v>90.2</v>
      </c>
      <c r="R22" s="15">
        <v>91.4</v>
      </c>
      <c r="S22" s="15">
        <v>90.6</v>
      </c>
      <c r="T22" s="15">
        <v>93.3</v>
      </c>
      <c r="U22" s="15">
        <v>92.1</v>
      </c>
      <c r="V22" s="15">
        <v>92.8</v>
      </c>
      <c r="W22" s="15">
        <v>93</v>
      </c>
      <c r="X22" s="9"/>
      <c r="Y22" s="9"/>
      <c r="Z22" s="9"/>
      <c r="AA22" s="9"/>
    </row>
    <row r="23" ht="19.5" customHeight="1" spans="1:27">
      <c r="A23" s="1">
        <v>23</v>
      </c>
      <c r="B23" s="17" t="s">
        <v>81</v>
      </c>
      <c r="C23" s="18">
        <v>1</v>
      </c>
      <c r="D23" s="15">
        <v>0.7</v>
      </c>
      <c r="E23" s="15">
        <v>0.7</v>
      </c>
      <c r="F23" s="15">
        <v>0.69</v>
      </c>
      <c r="G23" s="8">
        <v>0.74</v>
      </c>
      <c r="H23" s="15">
        <v>0.7</v>
      </c>
      <c r="I23" s="8">
        <v>0.71</v>
      </c>
      <c r="J23" s="8">
        <v>0.77</v>
      </c>
      <c r="K23" s="15">
        <v>0.76</v>
      </c>
      <c r="L23" s="23">
        <v>0.77</v>
      </c>
      <c r="M23" s="23">
        <v>0.75</v>
      </c>
      <c r="N23" s="23">
        <v>0.82</v>
      </c>
      <c r="O23" s="23">
        <v>0.8</v>
      </c>
      <c r="P23" s="23">
        <v>0.81</v>
      </c>
      <c r="Q23" s="23">
        <v>0.81</v>
      </c>
      <c r="R23" s="15">
        <v>0.77</v>
      </c>
      <c r="S23" s="15">
        <v>0.81</v>
      </c>
      <c r="T23" s="15">
        <v>0.85</v>
      </c>
      <c r="U23" s="15">
        <v>0.84</v>
      </c>
      <c r="V23" s="15">
        <v>0.87</v>
      </c>
      <c r="W23" s="15">
        <v>0.87</v>
      </c>
      <c r="X23" s="9"/>
      <c r="Y23" s="9"/>
      <c r="Z23" s="9"/>
      <c r="AA23" s="9"/>
    </row>
    <row r="24" ht="19.5" customHeight="1" spans="1:27">
      <c r="A24" s="1">
        <v>24</v>
      </c>
      <c r="B24" s="19"/>
      <c r="C24" s="20">
        <v>0.75</v>
      </c>
      <c r="D24" s="15">
        <v>0.59</v>
      </c>
      <c r="E24" s="15">
        <v>0.61</v>
      </c>
      <c r="F24" s="15">
        <v>0.6</v>
      </c>
      <c r="G24" s="8">
        <v>0.65</v>
      </c>
      <c r="H24" s="15">
        <v>0.59</v>
      </c>
      <c r="I24" s="8">
        <v>0.58</v>
      </c>
      <c r="J24" s="8">
        <v>0.73</v>
      </c>
      <c r="K24" s="15">
        <v>0.68</v>
      </c>
      <c r="L24" s="23">
        <v>0.69</v>
      </c>
      <c r="M24" s="23">
        <v>0.65</v>
      </c>
      <c r="N24" s="23">
        <v>0.77</v>
      </c>
      <c r="O24" s="23">
        <v>0.74</v>
      </c>
      <c r="P24" s="23">
        <v>0.77</v>
      </c>
      <c r="Q24" s="23">
        <v>0.76</v>
      </c>
      <c r="R24" s="15">
        <v>0.71</v>
      </c>
      <c r="S24" s="15">
        <v>0.76</v>
      </c>
      <c r="T24" s="15">
        <v>0.84</v>
      </c>
      <c r="U24" s="15">
        <v>0.79</v>
      </c>
      <c r="V24" s="15">
        <v>0.84</v>
      </c>
      <c r="W24" s="15">
        <v>0.84</v>
      </c>
      <c r="X24" s="9"/>
      <c r="Y24" s="9"/>
      <c r="Z24" s="9"/>
      <c r="AA24" s="9"/>
    </row>
    <row r="25" ht="19.5" customHeight="1" spans="1:27">
      <c r="A25" s="1">
        <v>25</v>
      </c>
      <c r="B25" s="21"/>
      <c r="C25" s="22">
        <v>0.5</v>
      </c>
      <c r="D25" s="15">
        <v>0.45</v>
      </c>
      <c r="E25" s="15">
        <v>0.46</v>
      </c>
      <c r="F25" s="15">
        <v>0.45</v>
      </c>
      <c r="G25" s="23">
        <v>0.5</v>
      </c>
      <c r="H25" s="15">
        <v>0.46</v>
      </c>
      <c r="I25" s="8">
        <v>0.45</v>
      </c>
      <c r="J25" s="23">
        <v>0.6</v>
      </c>
      <c r="K25" s="15">
        <v>0.54</v>
      </c>
      <c r="L25" s="23">
        <v>0.56</v>
      </c>
      <c r="M25" s="23">
        <v>0.5</v>
      </c>
      <c r="N25" s="23">
        <v>0.65</v>
      </c>
      <c r="O25" s="23">
        <v>0.63</v>
      </c>
      <c r="P25" s="23">
        <v>0.66</v>
      </c>
      <c r="Q25" s="23">
        <v>0.65</v>
      </c>
      <c r="R25" s="15">
        <v>0.59</v>
      </c>
      <c r="S25" s="15">
        <v>0.64</v>
      </c>
      <c r="T25" s="15">
        <v>0.8</v>
      </c>
      <c r="U25" s="15">
        <v>0.7</v>
      </c>
      <c r="V25" s="15">
        <v>0.76</v>
      </c>
      <c r="W25" s="15">
        <v>0.79</v>
      </c>
      <c r="X25" s="9"/>
      <c r="Y25" s="9"/>
      <c r="Z25" s="9"/>
      <c r="AA25" s="9"/>
    </row>
    <row r="26" ht="19.5" customHeight="1" spans="1:27">
      <c r="A26" s="1">
        <v>26</v>
      </c>
      <c r="B26" s="2" t="s">
        <v>82</v>
      </c>
      <c r="C26" s="3"/>
      <c r="D26" s="8" t="s">
        <v>83</v>
      </c>
      <c r="E26" s="8" t="s">
        <v>83</v>
      </c>
      <c r="F26" s="8" t="s">
        <v>83</v>
      </c>
      <c r="G26" s="8" t="s">
        <v>83</v>
      </c>
      <c r="H26" s="8" t="s">
        <v>83</v>
      </c>
      <c r="I26" s="8" t="s">
        <v>83</v>
      </c>
      <c r="J26" s="8" t="s">
        <v>83</v>
      </c>
      <c r="K26" s="8" t="s">
        <v>83</v>
      </c>
      <c r="L26" s="8" t="s">
        <v>83</v>
      </c>
      <c r="M26" s="8" t="s">
        <v>83</v>
      </c>
      <c r="N26" s="8" t="s">
        <v>83</v>
      </c>
      <c r="O26" s="8" t="s">
        <v>83</v>
      </c>
      <c r="P26" s="8" t="s">
        <v>83</v>
      </c>
      <c r="Q26" s="8" t="s">
        <v>83</v>
      </c>
      <c r="R26" s="8" t="s">
        <v>83</v>
      </c>
      <c r="S26" s="8" t="s">
        <v>83</v>
      </c>
      <c r="T26" s="8" t="s">
        <v>83</v>
      </c>
      <c r="U26" s="8" t="s">
        <v>83</v>
      </c>
      <c r="V26" s="8" t="s">
        <v>83</v>
      </c>
      <c r="W26" s="8" t="s">
        <v>83</v>
      </c>
      <c r="X26" s="9"/>
      <c r="Y26" s="9"/>
      <c r="Z26" s="9"/>
      <c r="AA26" s="9"/>
    </row>
    <row r="27" ht="19.5" customHeight="1" spans="1:27">
      <c r="A27" s="1">
        <v>27</v>
      </c>
      <c r="B27" s="17" t="s">
        <v>84</v>
      </c>
      <c r="C27" s="3" t="s">
        <v>85</v>
      </c>
      <c r="D27" s="24" t="s">
        <v>86</v>
      </c>
      <c r="E27" s="24" t="s">
        <v>86</v>
      </c>
      <c r="F27" s="24" t="s">
        <v>86</v>
      </c>
      <c r="G27" s="24" t="s">
        <v>86</v>
      </c>
      <c r="H27" s="24" t="s">
        <v>86</v>
      </c>
      <c r="I27" s="24" t="s">
        <v>86</v>
      </c>
      <c r="J27" s="24" t="s">
        <v>86</v>
      </c>
      <c r="K27" s="24" t="s">
        <v>86</v>
      </c>
      <c r="L27" s="24" t="s">
        <v>86</v>
      </c>
      <c r="M27" s="24" t="s">
        <v>86</v>
      </c>
      <c r="N27" s="24" t="s">
        <v>86</v>
      </c>
      <c r="O27" s="24" t="s">
        <v>86</v>
      </c>
      <c r="P27" s="24" t="s">
        <v>86</v>
      </c>
      <c r="Q27" s="24" t="s">
        <v>86</v>
      </c>
      <c r="R27" s="24" t="s">
        <v>86</v>
      </c>
      <c r="S27" s="24" t="s">
        <v>86</v>
      </c>
      <c r="T27" s="24" t="s">
        <v>86</v>
      </c>
      <c r="U27" s="24" t="s">
        <v>86</v>
      </c>
      <c r="V27" s="24" t="s">
        <v>86</v>
      </c>
      <c r="W27" s="24" t="s">
        <v>86</v>
      </c>
      <c r="X27" s="9"/>
      <c r="Y27" s="9"/>
      <c r="Z27" s="9"/>
      <c r="AA27" s="9"/>
    </row>
    <row r="28" ht="19.5" customHeight="1" spans="1:27">
      <c r="A28" s="1">
        <v>28</v>
      </c>
      <c r="B28" s="21"/>
      <c r="C28" s="25" t="s">
        <v>87</v>
      </c>
      <c r="D28" s="24" t="s">
        <v>86</v>
      </c>
      <c r="E28" s="24" t="s">
        <v>86</v>
      </c>
      <c r="F28" s="24" t="s">
        <v>86</v>
      </c>
      <c r="G28" s="24" t="s">
        <v>86</v>
      </c>
      <c r="H28" s="24" t="s">
        <v>86</v>
      </c>
      <c r="I28" s="24" t="s">
        <v>86</v>
      </c>
      <c r="J28" s="24" t="s">
        <v>86</v>
      </c>
      <c r="K28" s="24" t="s">
        <v>86</v>
      </c>
      <c r="L28" s="24" t="s">
        <v>86</v>
      </c>
      <c r="M28" s="24" t="s">
        <v>86</v>
      </c>
      <c r="N28" s="24" t="s">
        <v>86</v>
      </c>
      <c r="O28" s="24" t="s">
        <v>86</v>
      </c>
      <c r="P28" s="24" t="s">
        <v>86</v>
      </c>
      <c r="Q28" s="24" t="s">
        <v>86</v>
      </c>
      <c r="R28" s="24" t="s">
        <v>86</v>
      </c>
      <c r="S28" s="24" t="s">
        <v>86</v>
      </c>
      <c r="T28" s="24" t="s">
        <v>86</v>
      </c>
      <c r="U28" s="24" t="s">
        <v>86</v>
      </c>
      <c r="V28" s="24" t="s">
        <v>86</v>
      </c>
      <c r="W28" s="24" t="s">
        <v>86</v>
      </c>
      <c r="X28" s="9"/>
      <c r="Y28" s="9"/>
      <c r="Z28" s="9"/>
      <c r="AA28" s="9"/>
    </row>
    <row r="29" ht="19.5" customHeight="1" spans="1:27">
      <c r="A29" s="1">
        <v>29</v>
      </c>
      <c r="B29" s="2" t="s">
        <v>88</v>
      </c>
      <c r="C29" s="14" t="s">
        <v>89</v>
      </c>
      <c r="D29" s="24" t="s">
        <v>86</v>
      </c>
      <c r="E29" s="24" t="s">
        <v>86</v>
      </c>
      <c r="F29" s="24" t="s">
        <v>86</v>
      </c>
      <c r="G29" s="24" t="s">
        <v>86</v>
      </c>
      <c r="H29" s="24" t="s">
        <v>86</v>
      </c>
      <c r="I29" s="24" t="s">
        <v>86</v>
      </c>
      <c r="J29" s="24" t="s">
        <v>86</v>
      </c>
      <c r="K29" s="24" t="s">
        <v>86</v>
      </c>
      <c r="L29" s="24" t="s">
        <v>86</v>
      </c>
      <c r="M29" s="24" t="s">
        <v>86</v>
      </c>
      <c r="N29" s="24" t="s">
        <v>86</v>
      </c>
      <c r="O29" s="24" t="s">
        <v>86</v>
      </c>
      <c r="P29" s="24" t="s">
        <v>86</v>
      </c>
      <c r="Q29" s="24" t="s">
        <v>86</v>
      </c>
      <c r="R29" s="24" t="s">
        <v>86</v>
      </c>
      <c r="S29" s="24" t="s">
        <v>86</v>
      </c>
      <c r="T29" s="24" t="s">
        <v>86</v>
      </c>
      <c r="U29" s="24" t="s">
        <v>86</v>
      </c>
      <c r="V29" s="24" t="s">
        <v>86</v>
      </c>
      <c r="W29" s="24" t="s">
        <v>86</v>
      </c>
      <c r="X29" s="9"/>
      <c r="Y29" s="9"/>
      <c r="Z29" s="9"/>
      <c r="AA29" s="9"/>
    </row>
    <row r="30" ht="19.5" customHeight="1" spans="1:27">
      <c r="A30" s="1">
        <v>30</v>
      </c>
      <c r="B30" s="17" t="s">
        <v>90</v>
      </c>
      <c r="C30" s="26" t="s">
        <v>91</v>
      </c>
      <c r="D30" s="27" t="s">
        <v>92</v>
      </c>
      <c r="E30" s="27" t="s">
        <v>92</v>
      </c>
      <c r="F30" s="27" t="s">
        <v>93</v>
      </c>
      <c r="G30" s="27" t="s">
        <v>93</v>
      </c>
      <c r="H30" s="8" t="s">
        <v>94</v>
      </c>
      <c r="I30" s="8" t="s">
        <v>94</v>
      </c>
      <c r="J30" s="8" t="s">
        <v>95</v>
      </c>
      <c r="K30" s="8" t="s">
        <v>95</v>
      </c>
      <c r="L30" s="8" t="s">
        <v>96</v>
      </c>
      <c r="M30" s="8" t="s">
        <v>97</v>
      </c>
      <c r="N30" s="8" t="s">
        <v>98</v>
      </c>
      <c r="O30" s="8" t="s">
        <v>98</v>
      </c>
      <c r="P30" s="8" t="s">
        <v>99</v>
      </c>
      <c r="Q30" s="8" t="s">
        <v>99</v>
      </c>
      <c r="R30" s="8" t="s">
        <v>100</v>
      </c>
      <c r="S30" s="8" t="s">
        <v>100</v>
      </c>
      <c r="T30" s="8" t="s">
        <v>101</v>
      </c>
      <c r="U30" s="8" t="s">
        <v>102</v>
      </c>
      <c r="V30" s="8" t="s">
        <v>102</v>
      </c>
      <c r="W30" s="8" t="s">
        <v>103</v>
      </c>
      <c r="X30" s="9"/>
      <c r="Y30" s="9"/>
      <c r="Z30" s="9"/>
      <c r="AA30" s="9"/>
    </row>
    <row r="31" ht="19.5" customHeight="1" spans="1:27">
      <c r="A31" s="1">
        <v>31</v>
      </c>
      <c r="B31" s="21"/>
      <c r="C31" s="3" t="s">
        <v>104</v>
      </c>
      <c r="D31" s="11" t="s">
        <v>92</v>
      </c>
      <c r="E31" s="11" t="s">
        <v>92</v>
      </c>
      <c r="F31" s="11" t="s">
        <v>93</v>
      </c>
      <c r="G31" s="11" t="s">
        <v>93</v>
      </c>
      <c r="H31" s="8" t="s">
        <v>94</v>
      </c>
      <c r="I31" s="8" t="s">
        <v>94</v>
      </c>
      <c r="J31" s="8" t="s">
        <v>95</v>
      </c>
      <c r="K31" s="8" t="s">
        <v>95</v>
      </c>
      <c r="L31" s="8" t="s">
        <v>96</v>
      </c>
      <c r="M31" s="8" t="s">
        <v>97</v>
      </c>
      <c r="N31" s="8" t="s">
        <v>98</v>
      </c>
      <c r="O31" s="8" t="s">
        <v>98</v>
      </c>
      <c r="P31" s="8" t="s">
        <v>105</v>
      </c>
      <c r="Q31" s="8" t="s">
        <v>105</v>
      </c>
      <c r="R31" s="8" t="s">
        <v>100</v>
      </c>
      <c r="S31" s="8" t="s">
        <v>100</v>
      </c>
      <c r="T31" s="8" t="s">
        <v>100</v>
      </c>
      <c r="U31" s="8" t="s">
        <v>101</v>
      </c>
      <c r="V31" s="8" t="s">
        <v>101</v>
      </c>
      <c r="W31" s="8" t="s">
        <v>106</v>
      </c>
      <c r="X31" s="9"/>
      <c r="Y31" s="9"/>
      <c r="Z31" s="9"/>
      <c r="AA31" s="9"/>
    </row>
    <row r="32" ht="19.5" customHeight="1" spans="1:27">
      <c r="A32" s="1">
        <v>32</v>
      </c>
      <c r="B32" s="2" t="s">
        <v>107</v>
      </c>
      <c r="C32" s="3" t="s">
        <v>108</v>
      </c>
      <c r="D32" s="11">
        <v>40000</v>
      </c>
      <c r="E32" s="11">
        <v>40000</v>
      </c>
      <c r="F32" s="8">
        <v>40000</v>
      </c>
      <c r="G32" s="8">
        <v>40000</v>
      </c>
      <c r="H32" s="8">
        <v>40000</v>
      </c>
      <c r="I32" s="8">
        <v>40000</v>
      </c>
      <c r="J32" s="8">
        <v>40000</v>
      </c>
      <c r="K32" s="8">
        <v>40000</v>
      </c>
      <c r="L32" s="8">
        <v>40000</v>
      </c>
      <c r="M32" s="8">
        <v>40000</v>
      </c>
      <c r="N32" s="8">
        <v>40000</v>
      </c>
      <c r="O32" s="8">
        <v>40000</v>
      </c>
      <c r="P32" s="8">
        <v>40000</v>
      </c>
      <c r="Q32" s="8">
        <v>40000</v>
      </c>
      <c r="R32" s="8">
        <v>40000</v>
      </c>
      <c r="S32" s="8">
        <v>40000</v>
      </c>
      <c r="T32" s="8">
        <v>40000</v>
      </c>
      <c r="U32" s="8">
        <v>40000</v>
      </c>
      <c r="V32" s="8">
        <v>40000</v>
      </c>
      <c r="W32" s="8">
        <v>40000</v>
      </c>
      <c r="X32" s="9"/>
      <c r="Y32" s="9"/>
      <c r="Z32" s="9"/>
      <c r="AA32" s="9"/>
    </row>
    <row r="33" ht="19.5" customHeight="1" spans="1:27">
      <c r="A33" s="1">
        <v>33</v>
      </c>
      <c r="B33" s="2" t="s">
        <v>109</v>
      </c>
      <c r="C33" s="3"/>
      <c r="D33" s="8" t="s">
        <v>110</v>
      </c>
      <c r="E33" s="8" t="s">
        <v>110</v>
      </c>
      <c r="F33" s="8" t="s">
        <v>110</v>
      </c>
      <c r="G33" s="8" t="s">
        <v>110</v>
      </c>
      <c r="H33" s="8" t="s">
        <v>110</v>
      </c>
      <c r="I33" s="8" t="s">
        <v>110</v>
      </c>
      <c r="J33" s="8" t="s">
        <v>110</v>
      </c>
      <c r="K33" s="8" t="s">
        <v>110</v>
      </c>
      <c r="L33" s="8" t="s">
        <v>110</v>
      </c>
      <c r="M33" s="8" t="s">
        <v>110</v>
      </c>
      <c r="N33" s="8" t="s">
        <v>110</v>
      </c>
      <c r="O33" s="8" t="s">
        <v>110</v>
      </c>
      <c r="P33" s="8" t="s">
        <v>110</v>
      </c>
      <c r="Q33" s="8" t="s">
        <v>110</v>
      </c>
      <c r="R33" s="8" t="s">
        <v>110</v>
      </c>
      <c r="S33" s="8" t="s">
        <v>110</v>
      </c>
      <c r="T33" s="8" t="s">
        <v>110</v>
      </c>
      <c r="U33" s="8" t="s">
        <v>110</v>
      </c>
      <c r="V33" s="8" t="s">
        <v>110</v>
      </c>
      <c r="W33" s="8" t="s">
        <v>110</v>
      </c>
      <c r="X33" s="9"/>
      <c r="Y33" s="9"/>
      <c r="Z33" s="9"/>
      <c r="AA33" s="9"/>
    </row>
    <row r="34" ht="19.5" customHeight="1" spans="1:27">
      <c r="A34" s="1">
        <v>34</v>
      </c>
      <c r="B34" s="17" t="s">
        <v>111</v>
      </c>
      <c r="C34" s="3" t="s">
        <v>112</v>
      </c>
      <c r="D34" s="8" t="s">
        <v>113</v>
      </c>
      <c r="E34" s="8" t="s">
        <v>113</v>
      </c>
      <c r="F34" s="8" t="s">
        <v>113</v>
      </c>
      <c r="G34" s="8" t="s">
        <v>113</v>
      </c>
      <c r="H34" s="8" t="s">
        <v>113</v>
      </c>
      <c r="I34" s="8" t="s">
        <v>113</v>
      </c>
      <c r="J34" s="8" t="s">
        <v>113</v>
      </c>
      <c r="K34" s="8" t="s">
        <v>113</v>
      </c>
      <c r="L34" s="8" t="s">
        <v>113</v>
      </c>
      <c r="M34" s="8" t="s">
        <v>113</v>
      </c>
      <c r="N34" s="8" t="s">
        <v>113</v>
      </c>
      <c r="O34" s="8" t="s">
        <v>113</v>
      </c>
      <c r="P34" s="8" t="s">
        <v>114</v>
      </c>
      <c r="Q34" s="8" t="s">
        <v>114</v>
      </c>
      <c r="R34" s="8" t="s">
        <v>114</v>
      </c>
      <c r="S34" s="8" t="s">
        <v>114</v>
      </c>
      <c r="T34" s="8" t="s">
        <v>114</v>
      </c>
      <c r="U34" s="8" t="s">
        <v>114</v>
      </c>
      <c r="V34" s="8" t="s">
        <v>114</v>
      </c>
      <c r="W34" s="8" t="s">
        <v>114</v>
      </c>
      <c r="X34" s="9"/>
      <c r="Y34" s="9"/>
      <c r="Z34" s="9"/>
      <c r="AA34" s="9"/>
    </row>
    <row r="35" ht="19.5" customHeight="1" spans="1:27">
      <c r="A35" s="1">
        <v>35</v>
      </c>
      <c r="B35" s="21"/>
      <c r="C35" s="25" t="s">
        <v>115</v>
      </c>
      <c r="D35" s="8" t="s">
        <v>113</v>
      </c>
      <c r="E35" s="8" t="s">
        <v>113</v>
      </c>
      <c r="F35" s="8" t="s">
        <v>113</v>
      </c>
      <c r="G35" s="8" t="s">
        <v>113</v>
      </c>
      <c r="H35" s="8" t="s">
        <v>113</v>
      </c>
      <c r="I35" s="8" t="s">
        <v>113</v>
      </c>
      <c r="J35" s="8" t="s">
        <v>113</v>
      </c>
      <c r="K35" s="8" t="s">
        <v>113</v>
      </c>
      <c r="L35" s="8" t="s">
        <v>114</v>
      </c>
      <c r="M35" s="8" t="s">
        <v>114</v>
      </c>
      <c r="N35" s="8" t="s">
        <v>114</v>
      </c>
      <c r="O35" s="8" t="s">
        <v>114</v>
      </c>
      <c r="P35" s="8" t="s">
        <v>114</v>
      </c>
      <c r="Q35" s="8" t="s">
        <v>114</v>
      </c>
      <c r="R35" s="8" t="s">
        <v>114</v>
      </c>
      <c r="S35" s="8" t="s">
        <v>114</v>
      </c>
      <c r="T35" s="8" t="s">
        <v>114</v>
      </c>
      <c r="U35" s="8" t="s">
        <v>114</v>
      </c>
      <c r="V35" s="8" t="s">
        <v>114</v>
      </c>
      <c r="W35" s="8" t="s">
        <v>114</v>
      </c>
      <c r="X35" s="9"/>
      <c r="Y35" s="9"/>
      <c r="Z35" s="9"/>
      <c r="AA35" s="9"/>
    </row>
    <row r="36" ht="19.5" customHeight="1" spans="1:27">
      <c r="A36" s="1">
        <v>36</v>
      </c>
      <c r="B36" s="2" t="s">
        <v>116</v>
      </c>
      <c r="C36" s="3" t="s">
        <v>117</v>
      </c>
      <c r="D36" s="15" t="s">
        <v>86</v>
      </c>
      <c r="E36" s="15">
        <v>4</v>
      </c>
      <c r="F36" s="15">
        <v>6</v>
      </c>
      <c r="G36" s="15">
        <v>6.5</v>
      </c>
      <c r="H36" s="15">
        <v>10</v>
      </c>
      <c r="I36" s="15">
        <v>10</v>
      </c>
      <c r="J36" s="15">
        <v>15</v>
      </c>
      <c r="K36" s="15">
        <v>16.5</v>
      </c>
      <c r="L36" s="15">
        <v>23</v>
      </c>
      <c r="M36" s="15">
        <v>37</v>
      </c>
      <c r="N36" s="15">
        <v>64</v>
      </c>
      <c r="O36" s="15">
        <v>71</v>
      </c>
      <c r="P36" s="15">
        <v>108</v>
      </c>
      <c r="Q36" s="15">
        <v>175</v>
      </c>
      <c r="R36" s="15">
        <v>250</v>
      </c>
      <c r="S36" s="15">
        <v>250</v>
      </c>
      <c r="T36" s="15">
        <v>230</v>
      </c>
      <c r="U36" s="15">
        <v>315</v>
      </c>
      <c r="V36" s="15">
        <v>380</v>
      </c>
      <c r="W36" s="15">
        <v>600</v>
      </c>
      <c r="X36" s="9"/>
      <c r="Y36" s="9"/>
      <c r="Z36" s="9"/>
      <c r="AA36" s="9"/>
    </row>
    <row r="37" ht="19.5" customHeight="1" spans="1:27">
      <c r="A37" s="1">
        <v>37</v>
      </c>
      <c r="B37" s="2" t="s">
        <v>118</v>
      </c>
      <c r="C37" s="3"/>
      <c r="D37" s="11" t="s">
        <v>119</v>
      </c>
      <c r="E37" s="11" t="s">
        <v>119</v>
      </c>
      <c r="F37" s="8" t="s">
        <v>119</v>
      </c>
      <c r="G37" s="8" t="s">
        <v>119</v>
      </c>
      <c r="H37" s="8" t="s">
        <v>119</v>
      </c>
      <c r="I37" s="8" t="s">
        <v>119</v>
      </c>
      <c r="J37" s="8" t="s">
        <v>119</v>
      </c>
      <c r="K37" s="8" t="s">
        <v>119</v>
      </c>
      <c r="L37" s="8" t="s">
        <v>119</v>
      </c>
      <c r="M37" s="8" t="s">
        <v>120</v>
      </c>
      <c r="N37" s="8" t="s">
        <v>120</v>
      </c>
      <c r="O37" s="8" t="s">
        <v>120</v>
      </c>
      <c r="P37" s="8" t="s">
        <v>121</v>
      </c>
      <c r="Q37" s="8" t="s">
        <v>121</v>
      </c>
      <c r="R37" s="8" t="s">
        <v>121</v>
      </c>
      <c r="S37" s="8" t="s">
        <v>121</v>
      </c>
      <c r="T37" s="15" t="s">
        <v>121</v>
      </c>
      <c r="U37" s="15" t="s">
        <v>121</v>
      </c>
      <c r="V37" s="15" t="s">
        <v>121</v>
      </c>
      <c r="W37" s="15" t="s">
        <v>121</v>
      </c>
      <c r="X37" s="9"/>
      <c r="Y37" s="9"/>
      <c r="Z37" s="9"/>
      <c r="AA37" s="9"/>
    </row>
    <row r="38" ht="19.5" customHeight="1" spans="1:27">
      <c r="A38" s="1">
        <v>38</v>
      </c>
      <c r="B38" s="2" t="s">
        <v>122</v>
      </c>
      <c r="C38" s="3"/>
      <c r="D38" s="8" t="s">
        <v>123</v>
      </c>
      <c r="E38" s="8" t="s">
        <v>123</v>
      </c>
      <c r="F38" s="8" t="s">
        <v>123</v>
      </c>
      <c r="G38" s="8" t="s">
        <v>123</v>
      </c>
      <c r="H38" s="8" t="s">
        <v>123</v>
      </c>
      <c r="I38" s="8" t="s">
        <v>123</v>
      </c>
      <c r="J38" s="8" t="s">
        <v>123</v>
      </c>
      <c r="K38" s="8" t="s">
        <v>123</v>
      </c>
      <c r="L38" s="8" t="s">
        <v>123</v>
      </c>
      <c r="M38" s="8" t="s">
        <v>123</v>
      </c>
      <c r="N38" s="8" t="s">
        <v>123</v>
      </c>
      <c r="O38" s="8" t="s">
        <v>123</v>
      </c>
      <c r="P38" s="8" t="s">
        <v>123</v>
      </c>
      <c r="Q38" s="8" t="s">
        <v>123</v>
      </c>
      <c r="R38" s="8" t="s">
        <v>123</v>
      </c>
      <c r="S38" s="8" t="s">
        <v>123</v>
      </c>
      <c r="T38" s="8" t="s">
        <v>123</v>
      </c>
      <c r="U38" s="8" t="s">
        <v>123</v>
      </c>
      <c r="V38" s="8" t="s">
        <v>123</v>
      </c>
      <c r="W38" s="8" t="s">
        <v>123</v>
      </c>
      <c r="X38" s="9"/>
      <c r="Y38" s="9"/>
      <c r="Z38" s="9"/>
      <c r="AA38" s="9"/>
    </row>
    <row r="39" ht="19.5" customHeight="1" spans="1:27">
      <c r="A39" s="1">
        <v>39</v>
      </c>
      <c r="B39" s="2" t="s">
        <v>124</v>
      </c>
      <c r="C39" s="3"/>
      <c r="D39" s="8" t="s">
        <v>125</v>
      </c>
      <c r="E39" s="8" t="s">
        <v>125</v>
      </c>
      <c r="F39" s="8" t="s">
        <v>125</v>
      </c>
      <c r="G39" s="8" t="s">
        <v>125</v>
      </c>
      <c r="H39" s="8" t="s">
        <v>125</v>
      </c>
      <c r="I39" s="8" t="s">
        <v>125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 s="8" t="s">
        <v>125</v>
      </c>
      <c r="T39" s="8" t="s">
        <v>125</v>
      </c>
      <c r="U39" s="8" t="s">
        <v>125</v>
      </c>
      <c r="V39" s="8" t="s">
        <v>125</v>
      </c>
      <c r="W39" s="8" t="s">
        <v>125</v>
      </c>
      <c r="X39" s="9"/>
      <c r="Y39" s="9"/>
      <c r="Z39" s="9"/>
      <c r="AA39" s="9"/>
    </row>
    <row r="40" ht="19.5" customHeight="1" spans="1:27">
      <c r="A40" s="1">
        <v>40</v>
      </c>
      <c r="B40" s="2" t="s">
        <v>126</v>
      </c>
      <c r="C40" s="3"/>
      <c r="D40" s="8" t="s">
        <v>123</v>
      </c>
      <c r="E40" s="8" t="s">
        <v>123</v>
      </c>
      <c r="F40" s="8" t="s">
        <v>123</v>
      </c>
      <c r="G40" s="8" t="s">
        <v>123</v>
      </c>
      <c r="H40" s="8" t="s">
        <v>123</v>
      </c>
      <c r="I40" s="8" t="s">
        <v>123</v>
      </c>
      <c r="J40" s="8" t="s">
        <v>123</v>
      </c>
      <c r="K40" s="8" t="s">
        <v>123</v>
      </c>
      <c r="L40" s="8" t="s">
        <v>123</v>
      </c>
      <c r="M40" s="8" t="s">
        <v>123</v>
      </c>
      <c r="N40" s="8" t="s">
        <v>123</v>
      </c>
      <c r="O40" s="8" t="s">
        <v>123</v>
      </c>
      <c r="P40" s="8" t="s">
        <v>123</v>
      </c>
      <c r="Q40" s="8" t="s">
        <v>123</v>
      </c>
      <c r="R40" s="8" t="s">
        <v>123</v>
      </c>
      <c r="S40" s="8" t="s">
        <v>123</v>
      </c>
      <c r="T40" s="8" t="s">
        <v>123</v>
      </c>
      <c r="U40" s="8" t="s">
        <v>123</v>
      </c>
      <c r="V40" s="8" t="s">
        <v>123</v>
      </c>
      <c r="W40" s="8" t="s">
        <v>123</v>
      </c>
      <c r="X40" s="9"/>
      <c r="Y40" s="9"/>
      <c r="Z40" s="9"/>
      <c r="AA40" s="9"/>
    </row>
    <row r="41" ht="19.5" customHeight="1" spans="1:27">
      <c r="A41" s="1">
        <v>41</v>
      </c>
      <c r="B41" s="2" t="s">
        <v>127</v>
      </c>
      <c r="C41" s="28" t="s">
        <v>128</v>
      </c>
      <c r="D41" s="8" t="s">
        <v>129</v>
      </c>
      <c r="E41" s="8" t="s">
        <v>129</v>
      </c>
      <c r="F41" s="8" t="s">
        <v>129</v>
      </c>
      <c r="G41" s="8" t="s">
        <v>129</v>
      </c>
      <c r="H41" s="8" t="s">
        <v>129</v>
      </c>
      <c r="I41" s="8" t="s">
        <v>129</v>
      </c>
      <c r="J41" s="8" t="s">
        <v>129</v>
      </c>
      <c r="K41" s="8" t="s">
        <v>129</v>
      </c>
      <c r="L41" s="8" t="s">
        <v>129</v>
      </c>
      <c r="M41" s="8" t="s">
        <v>129</v>
      </c>
      <c r="N41" s="8" t="s">
        <v>129</v>
      </c>
      <c r="O41" s="8" t="s">
        <v>129</v>
      </c>
      <c r="P41" s="8" t="s">
        <v>130</v>
      </c>
      <c r="Q41" s="8" t="s">
        <v>130</v>
      </c>
      <c r="R41" s="8" t="s">
        <v>130</v>
      </c>
      <c r="S41" s="8" t="s">
        <v>130</v>
      </c>
      <c r="T41" s="8" t="s">
        <v>130</v>
      </c>
      <c r="U41" s="8" t="s">
        <v>130</v>
      </c>
      <c r="V41" s="8" t="s">
        <v>130</v>
      </c>
      <c r="W41" s="8" t="s">
        <v>130</v>
      </c>
      <c r="X41" s="9"/>
      <c r="Y41" s="9"/>
      <c r="Z41" s="9"/>
      <c r="AA41" s="9"/>
    </row>
    <row r="42" ht="19.5" customHeight="1" spans="1:27">
      <c r="A42" s="1">
        <v>42</v>
      </c>
      <c r="B42" s="2" t="s">
        <v>131</v>
      </c>
      <c r="C42" s="3"/>
      <c r="D42" s="8" t="s">
        <v>113</v>
      </c>
      <c r="E42" s="8" t="s">
        <v>113</v>
      </c>
      <c r="F42" s="8" t="s">
        <v>113</v>
      </c>
      <c r="G42" s="8" t="s">
        <v>113</v>
      </c>
      <c r="H42" s="8" t="s">
        <v>113</v>
      </c>
      <c r="I42" s="8" t="s">
        <v>113</v>
      </c>
      <c r="J42" s="8" t="s">
        <v>113</v>
      </c>
      <c r="K42" s="8" t="s">
        <v>113</v>
      </c>
      <c r="L42" s="8" t="s">
        <v>113</v>
      </c>
      <c r="M42" s="8" t="s">
        <v>113</v>
      </c>
      <c r="N42" s="8" t="s">
        <v>113</v>
      </c>
      <c r="O42" s="8" t="s">
        <v>113</v>
      </c>
      <c r="P42" s="8" t="s">
        <v>113</v>
      </c>
      <c r="Q42" s="8" t="s">
        <v>113</v>
      </c>
      <c r="R42" s="8" t="s">
        <v>113</v>
      </c>
      <c r="S42" s="8" t="s">
        <v>113</v>
      </c>
      <c r="T42" s="8" t="s">
        <v>113</v>
      </c>
      <c r="U42" s="8" t="s">
        <v>113</v>
      </c>
      <c r="V42" s="8" t="s">
        <v>113</v>
      </c>
      <c r="W42" s="8" t="s">
        <v>113</v>
      </c>
      <c r="X42" s="9"/>
      <c r="Y42" s="9"/>
      <c r="Z42" s="9"/>
      <c r="AA42" s="9"/>
    </row>
    <row r="43" ht="19.5" customHeight="1" spans="1:27">
      <c r="A43" s="1">
        <v>43</v>
      </c>
      <c r="B43" s="2" t="s">
        <v>132</v>
      </c>
      <c r="C43" s="3"/>
      <c r="D43" s="8" t="s">
        <v>133</v>
      </c>
      <c r="E43" s="8" t="s">
        <v>133</v>
      </c>
      <c r="F43" s="8" t="s">
        <v>133</v>
      </c>
      <c r="G43" s="8" t="s">
        <v>133</v>
      </c>
      <c r="H43" s="8" t="s">
        <v>133</v>
      </c>
      <c r="I43" s="8" t="s">
        <v>133</v>
      </c>
      <c r="J43" s="8" t="s">
        <v>133</v>
      </c>
      <c r="K43" s="8" t="s">
        <v>133</v>
      </c>
      <c r="L43" s="8" t="s">
        <v>133</v>
      </c>
      <c r="M43" s="8" t="s">
        <v>133</v>
      </c>
      <c r="N43" s="8" t="s">
        <v>133</v>
      </c>
      <c r="O43" s="8" t="s">
        <v>133</v>
      </c>
      <c r="P43" s="8" t="s">
        <v>134</v>
      </c>
      <c r="Q43" s="8" t="s">
        <v>134</v>
      </c>
      <c r="R43" s="8" t="s">
        <v>134</v>
      </c>
      <c r="S43" s="8" t="s">
        <v>134</v>
      </c>
      <c r="T43" s="8" t="s">
        <v>134</v>
      </c>
      <c r="U43" s="8" t="s">
        <v>134</v>
      </c>
      <c r="V43" s="8" t="s">
        <v>134</v>
      </c>
      <c r="W43" s="8" t="s">
        <v>134</v>
      </c>
      <c r="X43" s="9"/>
      <c r="Y43" s="9"/>
      <c r="Z43" s="9"/>
      <c r="AA43" s="9"/>
    </row>
    <row r="44" ht="19.5" customHeight="1" spans="1:27">
      <c r="A44" s="1">
        <v>44</v>
      </c>
      <c r="B44" s="2" t="s">
        <v>135</v>
      </c>
      <c r="C44" s="3"/>
      <c r="D44" s="11" t="s">
        <v>136</v>
      </c>
      <c r="E44" s="11" t="s">
        <v>136</v>
      </c>
      <c r="F44" s="11" t="s">
        <v>136</v>
      </c>
      <c r="G44" s="11" t="s">
        <v>136</v>
      </c>
      <c r="H44" s="11" t="s">
        <v>136</v>
      </c>
      <c r="I44" s="8" t="s">
        <v>136</v>
      </c>
      <c r="J44" s="8" t="s">
        <v>136</v>
      </c>
      <c r="K44" s="8" t="s">
        <v>136</v>
      </c>
      <c r="L44" s="8" t="s">
        <v>136</v>
      </c>
      <c r="M44" s="8" t="s">
        <v>136</v>
      </c>
      <c r="N44" s="8" t="s">
        <v>137</v>
      </c>
      <c r="O44" s="8" t="s">
        <v>137</v>
      </c>
      <c r="P44" s="8" t="s">
        <v>138</v>
      </c>
      <c r="Q44" s="8" t="s">
        <v>138</v>
      </c>
      <c r="R44" s="24" t="s">
        <v>86</v>
      </c>
      <c r="S44" s="24" t="s">
        <v>86</v>
      </c>
      <c r="T44" s="24" t="s">
        <v>86</v>
      </c>
      <c r="U44" s="24" t="s">
        <v>86</v>
      </c>
      <c r="V44" s="24" t="s">
        <v>86</v>
      </c>
      <c r="W44" s="24" t="s">
        <v>86</v>
      </c>
      <c r="X44" s="9"/>
      <c r="Y44" s="9"/>
      <c r="Z44" s="9"/>
      <c r="AA44" s="9"/>
    </row>
    <row r="45" ht="19.5" customHeight="1" spans="1:27">
      <c r="A45" s="1">
        <v>45</v>
      </c>
      <c r="B45" s="2" t="s">
        <v>139</v>
      </c>
      <c r="C45" s="3"/>
      <c r="D45" s="11">
        <v>6</v>
      </c>
      <c r="E45" s="11">
        <v>6</v>
      </c>
      <c r="F45" s="11">
        <v>6</v>
      </c>
      <c r="G45" s="11">
        <v>6</v>
      </c>
      <c r="H45" s="11">
        <v>6</v>
      </c>
      <c r="I45" s="8">
        <v>6</v>
      </c>
      <c r="J45" s="8">
        <v>6</v>
      </c>
      <c r="K45" s="8">
        <v>6</v>
      </c>
      <c r="L45" s="8">
        <v>6</v>
      </c>
      <c r="M45" s="8">
        <v>6</v>
      </c>
      <c r="N45" s="8">
        <v>6</v>
      </c>
      <c r="O45" s="8">
        <v>6</v>
      </c>
      <c r="P45" s="8">
        <v>6</v>
      </c>
      <c r="Q45" s="8">
        <v>6</v>
      </c>
      <c r="R45" s="8">
        <v>6</v>
      </c>
      <c r="S45" s="8">
        <v>6</v>
      </c>
      <c r="T45" s="8">
        <v>6</v>
      </c>
      <c r="U45" s="8">
        <v>6</v>
      </c>
      <c r="V45" s="8">
        <v>6</v>
      </c>
      <c r="W45" s="8">
        <v>6</v>
      </c>
      <c r="X45" s="9"/>
      <c r="Y45" s="9"/>
      <c r="Z45" s="9"/>
      <c r="AA45" s="9"/>
    </row>
    <row r="46" ht="19.5" customHeight="1" spans="1:27">
      <c r="A46" s="1">
        <v>46</v>
      </c>
      <c r="B46" s="29" t="s">
        <v>140</v>
      </c>
      <c r="C46" s="14"/>
      <c r="D46" s="8" t="s">
        <v>141</v>
      </c>
      <c r="E46" s="8" t="s">
        <v>141</v>
      </c>
      <c r="F46" s="8" t="s">
        <v>142</v>
      </c>
      <c r="G46" s="8" t="s">
        <v>142</v>
      </c>
      <c r="H46" s="8" t="s">
        <v>142</v>
      </c>
      <c r="I46" s="8" t="s">
        <v>142</v>
      </c>
      <c r="J46" s="8" t="s">
        <v>143</v>
      </c>
      <c r="K46" s="8" t="s">
        <v>143</v>
      </c>
      <c r="L46" s="8" t="s">
        <v>143</v>
      </c>
      <c r="M46" s="8" t="s">
        <v>143</v>
      </c>
      <c r="N46" s="8" t="s">
        <v>144</v>
      </c>
      <c r="O46" s="8" t="s">
        <v>144</v>
      </c>
      <c r="P46" s="8" t="s">
        <v>145</v>
      </c>
      <c r="Q46" s="8" t="s">
        <v>145</v>
      </c>
      <c r="R46" s="8" t="s">
        <v>145</v>
      </c>
      <c r="S46" s="8" t="s">
        <v>145</v>
      </c>
      <c r="T46" s="8" t="s">
        <v>145</v>
      </c>
      <c r="U46" s="8" t="s">
        <v>146</v>
      </c>
      <c r="V46" s="8" t="s">
        <v>146</v>
      </c>
      <c r="W46" s="8" t="s">
        <v>146</v>
      </c>
      <c r="X46" s="9"/>
      <c r="Y46" s="9"/>
      <c r="Z46" s="9"/>
      <c r="AA46" s="9"/>
    </row>
    <row r="47" ht="19.5" customHeight="1" spans="1:27">
      <c r="A47" s="1">
        <v>47</v>
      </c>
      <c r="B47" s="29" t="s">
        <v>147</v>
      </c>
      <c r="C47" s="14" t="s">
        <v>148</v>
      </c>
      <c r="D47" s="30">
        <v>1</v>
      </c>
      <c r="E47" s="30">
        <v>1</v>
      </c>
      <c r="F47" s="30">
        <v>1</v>
      </c>
      <c r="G47" s="30">
        <v>1</v>
      </c>
      <c r="H47" s="30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9"/>
      <c r="Y47" s="9"/>
      <c r="Z47" s="9"/>
      <c r="AA47" s="9"/>
    </row>
    <row r="48" ht="19.5" customHeight="1" spans="1:27">
      <c r="A48" s="1">
        <v>48</v>
      </c>
      <c r="B48" s="31" t="s">
        <v>149</v>
      </c>
      <c r="C48" s="32" t="s">
        <v>150</v>
      </c>
      <c r="D48" s="33" t="s">
        <v>151</v>
      </c>
      <c r="E48" s="33" t="s">
        <v>151</v>
      </c>
      <c r="F48" s="34" t="s">
        <v>152</v>
      </c>
      <c r="G48" s="34" t="s">
        <v>152</v>
      </c>
      <c r="H48" s="34" t="s">
        <v>152</v>
      </c>
      <c r="I48" s="34" t="s">
        <v>152</v>
      </c>
      <c r="J48" s="34" t="s">
        <v>153</v>
      </c>
      <c r="K48" s="34" t="s">
        <v>153</v>
      </c>
      <c r="L48" s="34" t="s">
        <v>153</v>
      </c>
      <c r="M48" s="34" t="s">
        <v>153</v>
      </c>
      <c r="N48" s="34" t="s">
        <v>154</v>
      </c>
      <c r="O48" s="34" t="s">
        <v>154</v>
      </c>
      <c r="P48" s="34" t="s">
        <v>155</v>
      </c>
      <c r="Q48" s="34" t="s">
        <v>155</v>
      </c>
      <c r="R48" s="34" t="s">
        <v>155</v>
      </c>
      <c r="S48" s="34" t="s">
        <v>155</v>
      </c>
      <c r="T48" s="34" t="s">
        <v>155</v>
      </c>
      <c r="U48" s="34" t="s">
        <v>156</v>
      </c>
      <c r="V48" s="34" t="s">
        <v>156</v>
      </c>
      <c r="W48" s="34" t="s">
        <v>156</v>
      </c>
      <c r="X48" s="35"/>
      <c r="Y48" s="35"/>
      <c r="Z48" s="35"/>
      <c r="AA48" s="35"/>
    </row>
    <row r="49" ht="19.5" customHeight="1" spans="1:27">
      <c r="A49" s="1">
        <v>49</v>
      </c>
      <c r="B49" s="29" t="s">
        <v>157</v>
      </c>
      <c r="C49" s="14" t="s">
        <v>158</v>
      </c>
      <c r="D49" s="30" t="s">
        <v>159</v>
      </c>
      <c r="E49" s="30" t="s">
        <v>159</v>
      </c>
      <c r="F49" s="8" t="s">
        <v>160</v>
      </c>
      <c r="G49" s="8" t="s">
        <v>160</v>
      </c>
      <c r="H49" s="8" t="s">
        <v>160</v>
      </c>
      <c r="I49" s="8" t="s">
        <v>160</v>
      </c>
      <c r="J49" s="8" t="s">
        <v>161</v>
      </c>
      <c r="K49" s="8" t="s">
        <v>161</v>
      </c>
      <c r="L49" s="8" t="s">
        <v>161</v>
      </c>
      <c r="M49" s="8" t="s">
        <v>161</v>
      </c>
      <c r="N49" s="8" t="s">
        <v>162</v>
      </c>
      <c r="O49" s="8" t="s">
        <v>162</v>
      </c>
      <c r="P49" s="8" t="s">
        <v>163</v>
      </c>
      <c r="Q49" s="8" t="s">
        <v>163</v>
      </c>
      <c r="R49" s="8" t="s">
        <v>163</v>
      </c>
      <c r="S49" s="8" t="s">
        <v>163</v>
      </c>
      <c r="T49" s="8" t="s">
        <v>163</v>
      </c>
      <c r="U49" s="8" t="s">
        <v>164</v>
      </c>
      <c r="V49" s="8" t="s">
        <v>164</v>
      </c>
      <c r="W49" s="8" t="s">
        <v>164</v>
      </c>
      <c r="X49" s="9"/>
      <c r="Y49" s="9"/>
      <c r="Z49" s="9"/>
      <c r="AA49" s="9"/>
    </row>
    <row r="50" ht="19.5" customHeight="1" spans="1:27">
      <c r="A50" s="1">
        <v>50</v>
      </c>
      <c r="B50" s="29" t="s">
        <v>165</v>
      </c>
      <c r="C50" s="14"/>
      <c r="D50" s="8" t="s">
        <v>166</v>
      </c>
      <c r="E50" s="8" t="s">
        <v>166</v>
      </c>
      <c r="F50" s="8" t="s">
        <v>166</v>
      </c>
      <c r="G50" s="8" t="s">
        <v>166</v>
      </c>
      <c r="H50" s="8" t="s">
        <v>166</v>
      </c>
      <c r="I50" s="8" t="s">
        <v>166</v>
      </c>
      <c r="J50" s="8" t="s">
        <v>166</v>
      </c>
      <c r="K50" s="8" t="s">
        <v>166</v>
      </c>
      <c r="L50" s="8" t="s">
        <v>166</v>
      </c>
      <c r="M50" s="8" t="s">
        <v>166</v>
      </c>
      <c r="N50" s="8" t="s">
        <v>166</v>
      </c>
      <c r="O50" s="8" t="s">
        <v>166</v>
      </c>
      <c r="P50" s="8" t="s">
        <v>166</v>
      </c>
      <c r="Q50" s="8" t="s">
        <v>166</v>
      </c>
      <c r="R50" s="8" t="s">
        <v>166</v>
      </c>
      <c r="S50" s="8" t="s">
        <v>166</v>
      </c>
      <c r="T50" s="8" t="s">
        <v>166</v>
      </c>
      <c r="U50" s="8" t="s">
        <v>166</v>
      </c>
      <c r="V50" s="8" t="s">
        <v>166</v>
      </c>
      <c r="W50" s="8" t="s">
        <v>166</v>
      </c>
      <c r="X50" s="9"/>
      <c r="Y50" s="9"/>
      <c r="Z50" s="9"/>
      <c r="AA50" s="9"/>
    </row>
    <row r="51" ht="19.5" customHeight="1" spans="1:27">
      <c r="A51" s="1">
        <v>51</v>
      </c>
      <c r="B51" s="29" t="s">
        <v>167</v>
      </c>
      <c r="C51" s="14"/>
      <c r="D51" s="8" t="s">
        <v>168</v>
      </c>
      <c r="E51" s="8" t="s">
        <v>168</v>
      </c>
      <c r="F51" s="8" t="s">
        <v>168</v>
      </c>
      <c r="G51" s="8" t="s">
        <v>168</v>
      </c>
      <c r="H51" s="8" t="s">
        <v>168</v>
      </c>
      <c r="I51" s="8" t="s">
        <v>168</v>
      </c>
      <c r="J51" s="8" t="s">
        <v>168</v>
      </c>
      <c r="K51" s="8" t="s">
        <v>168</v>
      </c>
      <c r="L51" s="8" t="s">
        <v>168</v>
      </c>
      <c r="M51" s="8" t="s">
        <v>168</v>
      </c>
      <c r="N51" s="8" t="s">
        <v>168</v>
      </c>
      <c r="O51" s="8" t="s">
        <v>168</v>
      </c>
      <c r="P51" s="8" t="s">
        <v>168</v>
      </c>
      <c r="Q51" s="8" t="s">
        <v>168</v>
      </c>
      <c r="R51" s="8" t="s">
        <v>168</v>
      </c>
      <c r="S51" s="8" t="s">
        <v>168</v>
      </c>
      <c r="T51" s="8" t="s">
        <v>168</v>
      </c>
      <c r="U51" s="8" t="s">
        <v>168</v>
      </c>
      <c r="V51" s="8" t="s">
        <v>168</v>
      </c>
      <c r="W51" s="8" t="s">
        <v>168</v>
      </c>
      <c r="X51" s="9"/>
      <c r="Y51" s="9"/>
      <c r="Z51" s="9"/>
      <c r="AA51" s="9"/>
    </row>
    <row r="52" ht="19.5" customHeight="1" spans="1:27">
      <c r="A52" s="1">
        <v>52</v>
      </c>
      <c r="B52" s="36" t="s">
        <v>169</v>
      </c>
      <c r="C52" s="37"/>
      <c r="D52" s="38" t="s">
        <v>170</v>
      </c>
      <c r="E52" s="38" t="s">
        <v>170</v>
      </c>
      <c r="F52" s="38" t="s">
        <v>170</v>
      </c>
      <c r="G52" s="38" t="s">
        <v>171</v>
      </c>
      <c r="H52" s="38" t="s">
        <v>172</v>
      </c>
      <c r="I52" s="38" t="s">
        <v>171</v>
      </c>
      <c r="J52" s="38" t="s">
        <v>171</v>
      </c>
      <c r="K52" s="38" t="s">
        <v>171</v>
      </c>
      <c r="L52" s="38" t="s">
        <v>171</v>
      </c>
      <c r="M52" s="38" t="s">
        <v>171</v>
      </c>
      <c r="N52" s="38" t="s">
        <v>171</v>
      </c>
      <c r="O52" s="38" t="s">
        <v>171</v>
      </c>
      <c r="P52" s="38" t="s">
        <v>171</v>
      </c>
      <c r="Q52" s="38" t="s">
        <v>171</v>
      </c>
      <c r="R52" s="38" t="s">
        <v>171</v>
      </c>
      <c r="S52" s="38" t="s">
        <v>171</v>
      </c>
      <c r="T52" s="38" t="s">
        <v>171</v>
      </c>
      <c r="U52" s="38" t="s">
        <v>171</v>
      </c>
      <c r="V52" s="38" t="s">
        <v>171</v>
      </c>
      <c r="W52" s="38" t="s">
        <v>171</v>
      </c>
      <c r="X52" s="39"/>
      <c r="Y52" s="39"/>
      <c r="Z52" s="39"/>
      <c r="AA52" s="39"/>
    </row>
    <row r="53" ht="19.5" customHeight="1" spans="1:27">
      <c r="A53" s="1">
        <v>53</v>
      </c>
      <c r="B53" s="29" t="s">
        <v>173</v>
      </c>
      <c r="C53" s="14"/>
      <c r="D53" s="40" t="s">
        <v>174</v>
      </c>
      <c r="E53" s="40" t="s">
        <v>174</v>
      </c>
      <c r="F53" s="40" t="s">
        <v>174</v>
      </c>
      <c r="G53" s="40" t="s">
        <v>174</v>
      </c>
      <c r="H53" s="40" t="s">
        <v>174</v>
      </c>
      <c r="I53" s="40" t="s">
        <v>174</v>
      </c>
      <c r="J53" s="40" t="s">
        <v>174</v>
      </c>
      <c r="K53" s="40" t="s">
        <v>174</v>
      </c>
      <c r="L53" s="40" t="s">
        <v>174</v>
      </c>
      <c r="M53" s="40" t="s">
        <v>174</v>
      </c>
      <c r="N53" s="40" t="s">
        <v>174</v>
      </c>
      <c r="O53" s="40" t="s">
        <v>174</v>
      </c>
      <c r="P53" s="40" t="s">
        <v>174</v>
      </c>
      <c r="Q53" s="40" t="s">
        <v>174</v>
      </c>
      <c r="R53" s="40" t="s">
        <v>174</v>
      </c>
      <c r="S53" s="40" t="s">
        <v>174</v>
      </c>
      <c r="T53" s="40" t="s">
        <v>174</v>
      </c>
      <c r="U53" s="40" t="s">
        <v>174</v>
      </c>
      <c r="V53" s="40" t="s">
        <v>174</v>
      </c>
      <c r="W53" s="40" t="s">
        <v>174</v>
      </c>
      <c r="X53" s="9"/>
      <c r="Y53" s="9"/>
      <c r="Z53" s="9"/>
      <c r="AA53" s="9"/>
    </row>
    <row r="54" ht="19.5" customHeight="1" spans="1:27">
      <c r="A54" s="1">
        <v>54</v>
      </c>
      <c r="B54" s="29" t="s">
        <v>175</v>
      </c>
      <c r="C54" s="14" t="s">
        <v>176</v>
      </c>
      <c r="D54" s="30">
        <v>42</v>
      </c>
      <c r="E54" s="30">
        <v>42</v>
      </c>
      <c r="F54" s="30">
        <v>45</v>
      </c>
      <c r="G54" s="30">
        <v>45</v>
      </c>
      <c r="H54" s="30">
        <v>47</v>
      </c>
      <c r="I54" s="40">
        <v>47</v>
      </c>
      <c r="J54" s="40">
        <v>55</v>
      </c>
      <c r="K54" s="40">
        <v>55</v>
      </c>
      <c r="L54" s="40">
        <v>57</v>
      </c>
      <c r="M54" s="40">
        <v>61</v>
      </c>
      <c r="N54" s="40">
        <v>62</v>
      </c>
      <c r="O54" s="40">
        <v>62</v>
      </c>
      <c r="P54" s="40">
        <v>63</v>
      </c>
      <c r="Q54" s="40">
        <v>63</v>
      </c>
      <c r="R54" s="40">
        <v>64</v>
      </c>
      <c r="S54" s="40">
        <v>64</v>
      </c>
      <c r="T54" s="40">
        <v>66</v>
      </c>
      <c r="U54" s="40">
        <v>68</v>
      </c>
      <c r="V54" s="40">
        <v>68</v>
      </c>
      <c r="W54" s="40">
        <v>70</v>
      </c>
      <c r="X54" s="9"/>
      <c r="Y54" s="9"/>
      <c r="Z54" s="9"/>
      <c r="AA54" s="9"/>
    </row>
    <row r="55" ht="19.5" customHeight="1" spans="1:27">
      <c r="A55" s="1">
        <v>55</v>
      </c>
      <c r="B55" s="29" t="s">
        <v>177</v>
      </c>
      <c r="C55" s="14" t="s">
        <v>178</v>
      </c>
      <c r="D55" s="30" t="s">
        <v>179</v>
      </c>
      <c r="E55" s="30" t="s">
        <v>179</v>
      </c>
      <c r="F55" s="8" t="s">
        <v>179</v>
      </c>
      <c r="G55" s="8" t="s">
        <v>179</v>
      </c>
      <c r="H55" s="8" t="s">
        <v>179</v>
      </c>
      <c r="I55" s="8" t="s">
        <v>179</v>
      </c>
      <c r="J55" s="8" t="s">
        <v>179</v>
      </c>
      <c r="K55" s="8" t="s">
        <v>179</v>
      </c>
      <c r="L55" s="8" t="s">
        <v>179</v>
      </c>
      <c r="M55" s="8" t="s">
        <v>179</v>
      </c>
      <c r="N55" s="8" t="s">
        <v>179</v>
      </c>
      <c r="O55" s="8" t="s">
        <v>179</v>
      </c>
      <c r="P55" s="8" t="s">
        <v>179</v>
      </c>
      <c r="Q55" s="8" t="s">
        <v>179</v>
      </c>
      <c r="R55" s="8" t="s">
        <v>179</v>
      </c>
      <c r="S55" s="8" t="s">
        <v>179</v>
      </c>
      <c r="T55" s="8" t="s">
        <v>179</v>
      </c>
      <c r="U55" s="8" t="s">
        <v>179</v>
      </c>
      <c r="V55" s="8" t="s">
        <v>179</v>
      </c>
      <c r="W55" s="8" t="s">
        <v>179</v>
      </c>
      <c r="X55" s="9"/>
      <c r="Y55" s="9"/>
      <c r="Z55" s="9"/>
      <c r="AA55" s="9"/>
    </row>
    <row r="56" ht="19.5" customHeight="1" spans="1:27">
      <c r="A56" s="1">
        <v>56</v>
      </c>
      <c r="B56" s="29" t="s">
        <v>180</v>
      </c>
      <c r="C56" s="14" t="s">
        <v>181</v>
      </c>
      <c r="D56" s="30">
        <v>240</v>
      </c>
      <c r="E56" s="30">
        <v>240</v>
      </c>
      <c r="F56" s="8">
        <v>240</v>
      </c>
      <c r="G56" s="8">
        <v>240</v>
      </c>
      <c r="H56" s="8">
        <v>240</v>
      </c>
      <c r="I56" s="8">
        <v>240</v>
      </c>
      <c r="J56" s="8">
        <v>240</v>
      </c>
      <c r="K56" s="8">
        <v>240</v>
      </c>
      <c r="L56" s="8">
        <v>240</v>
      </c>
      <c r="M56" s="8">
        <v>240</v>
      </c>
      <c r="N56" s="8">
        <v>240</v>
      </c>
      <c r="O56" s="8">
        <v>240</v>
      </c>
      <c r="P56" s="8">
        <v>240</v>
      </c>
      <c r="Q56" s="8">
        <v>240</v>
      </c>
      <c r="R56" s="8">
        <v>240</v>
      </c>
      <c r="S56" s="8">
        <v>240</v>
      </c>
      <c r="T56" s="8">
        <v>240</v>
      </c>
      <c r="U56" s="8">
        <v>240</v>
      </c>
      <c r="V56" s="8">
        <v>240</v>
      </c>
      <c r="W56" s="8">
        <v>240</v>
      </c>
      <c r="X56" s="9"/>
      <c r="Y56" s="9"/>
      <c r="Z56" s="9"/>
      <c r="AA56" s="9"/>
    </row>
    <row r="57" ht="19.5" customHeight="1" spans="1:27">
      <c r="A57" s="1">
        <v>57</v>
      </c>
      <c r="B57" s="29" t="s">
        <v>182</v>
      </c>
      <c r="C57" s="14"/>
      <c r="D57" s="8" t="s">
        <v>183</v>
      </c>
      <c r="E57" s="8" t="s">
        <v>183</v>
      </c>
      <c r="F57" s="8" t="s">
        <v>183</v>
      </c>
      <c r="G57" s="8" t="s">
        <v>183</v>
      </c>
      <c r="H57" s="8" t="s">
        <v>183</v>
      </c>
      <c r="I57" s="8" t="s">
        <v>183</v>
      </c>
      <c r="J57" s="8" t="s">
        <v>183</v>
      </c>
      <c r="K57" s="8" t="s">
        <v>183</v>
      </c>
      <c r="L57" s="8" t="s">
        <v>183</v>
      </c>
      <c r="M57" s="8" t="s">
        <v>183</v>
      </c>
      <c r="N57" s="8" t="s">
        <v>183</v>
      </c>
      <c r="O57" s="8" t="s">
        <v>183</v>
      </c>
      <c r="P57" s="8" t="s">
        <v>183</v>
      </c>
      <c r="Q57" s="8" t="s">
        <v>183</v>
      </c>
      <c r="R57" s="8" t="s">
        <v>183</v>
      </c>
      <c r="S57" s="8" t="s">
        <v>183</v>
      </c>
      <c r="T57" s="8" t="s">
        <v>183</v>
      </c>
      <c r="U57" s="8" t="s">
        <v>183</v>
      </c>
      <c r="V57" s="8" t="s">
        <v>183</v>
      </c>
      <c r="W57" s="8" t="s">
        <v>183</v>
      </c>
      <c r="X57" s="9"/>
      <c r="Y57" s="9"/>
      <c r="Z57" s="9"/>
      <c r="AA57" s="9"/>
    </row>
    <row r="58" ht="19.5" customHeight="1" spans="1:27">
      <c r="A58" s="1">
        <v>58</v>
      </c>
      <c r="B58" s="29" t="s">
        <v>184</v>
      </c>
      <c r="C58" s="14" t="s">
        <v>185</v>
      </c>
      <c r="D58" s="30">
        <v>103</v>
      </c>
      <c r="E58" s="30">
        <v>103</v>
      </c>
      <c r="F58" s="30">
        <v>103</v>
      </c>
      <c r="G58" s="30">
        <v>103</v>
      </c>
      <c r="H58" s="30">
        <v>103</v>
      </c>
      <c r="I58" s="30">
        <v>103</v>
      </c>
      <c r="J58" s="30">
        <v>103</v>
      </c>
      <c r="K58" s="30">
        <v>103</v>
      </c>
      <c r="L58" s="30">
        <v>103</v>
      </c>
      <c r="M58" s="30">
        <v>103</v>
      </c>
      <c r="N58" s="30">
        <v>103</v>
      </c>
      <c r="O58" s="30">
        <v>103</v>
      </c>
      <c r="P58" s="30">
        <v>103</v>
      </c>
      <c r="Q58" s="30">
        <v>103</v>
      </c>
      <c r="R58" s="30">
        <v>103</v>
      </c>
      <c r="S58" s="30">
        <v>103</v>
      </c>
      <c r="T58" s="30">
        <v>103</v>
      </c>
      <c r="U58" s="30">
        <v>103</v>
      </c>
      <c r="V58" s="30">
        <v>103</v>
      </c>
      <c r="W58" s="30">
        <v>190</v>
      </c>
      <c r="X58" s="9"/>
      <c r="Y58" s="9"/>
      <c r="Z58" s="9"/>
      <c r="AA58" s="9"/>
    </row>
    <row r="59" ht="19.5" customHeight="1" spans="1:27">
      <c r="A59" s="1">
        <v>59</v>
      </c>
      <c r="B59" s="29" t="s">
        <v>186</v>
      </c>
      <c r="C59" s="14" t="s">
        <v>63</v>
      </c>
      <c r="D59" s="30">
        <v>5</v>
      </c>
      <c r="E59" s="30">
        <v>5</v>
      </c>
      <c r="F59" s="30">
        <v>5</v>
      </c>
      <c r="G59" s="30">
        <v>5</v>
      </c>
      <c r="H59" s="30">
        <v>10</v>
      </c>
      <c r="I59" s="8">
        <v>10</v>
      </c>
      <c r="J59" s="8">
        <v>20</v>
      </c>
      <c r="K59" s="8">
        <v>20</v>
      </c>
      <c r="L59" s="8">
        <v>40</v>
      </c>
      <c r="M59" s="8">
        <v>60</v>
      </c>
      <c r="N59" s="8">
        <v>100</v>
      </c>
      <c r="O59" s="8">
        <v>100</v>
      </c>
      <c r="P59" s="8">
        <v>150</v>
      </c>
      <c r="Q59" s="8">
        <v>150</v>
      </c>
      <c r="R59" s="8">
        <v>250</v>
      </c>
      <c r="S59" s="8">
        <v>250</v>
      </c>
      <c r="T59" s="8">
        <v>250</v>
      </c>
      <c r="U59" s="8">
        <v>400</v>
      </c>
      <c r="V59" s="8">
        <v>400</v>
      </c>
      <c r="W59" s="8">
        <v>400</v>
      </c>
      <c r="X59" s="9"/>
      <c r="Y59" s="9"/>
      <c r="Z59" s="9"/>
      <c r="AA59" s="9"/>
    </row>
    <row r="60" ht="19.5" customHeight="1" spans="1:27">
      <c r="A60" s="1">
        <v>60</v>
      </c>
      <c r="B60" s="29" t="s">
        <v>187</v>
      </c>
      <c r="C60" s="14"/>
      <c r="D60" s="41" t="s">
        <v>188</v>
      </c>
      <c r="E60" s="41" t="s">
        <v>188</v>
      </c>
      <c r="F60" s="41" t="s">
        <v>188</v>
      </c>
      <c r="G60" s="23">
        <f>G59/G11</f>
        <v>1.92307692307692</v>
      </c>
      <c r="H60" s="41" t="s">
        <v>188</v>
      </c>
      <c r="I60" s="23">
        <f t="shared" ref="I60:J60" si="0">I59/I11</f>
        <v>2</v>
      </c>
      <c r="J60" s="23">
        <f t="shared" si="0"/>
        <v>2.66666666666667</v>
      </c>
      <c r="K60" s="41" t="s">
        <v>188</v>
      </c>
      <c r="L60" s="23">
        <f t="shared" ref="L60:Q60" si="1">L59/L11</f>
        <v>2.72108843537415</v>
      </c>
      <c r="M60" s="23">
        <f t="shared" si="1"/>
        <v>2.46913580246914</v>
      </c>
      <c r="N60" s="23">
        <f t="shared" si="1"/>
        <v>2.77008310249307</v>
      </c>
      <c r="O60" s="23">
        <f t="shared" si="1"/>
        <v>2.02839756592292</v>
      </c>
      <c r="P60" s="23">
        <f t="shared" si="1"/>
        <v>2.08623087621697</v>
      </c>
      <c r="Q60" s="23">
        <f t="shared" si="1"/>
        <v>1.52594099694812</v>
      </c>
      <c r="R60" s="41" t="s">
        <v>188</v>
      </c>
      <c r="S60" s="41" t="s">
        <v>188</v>
      </c>
      <c r="T60" s="41" t="s">
        <v>188</v>
      </c>
      <c r="U60" s="41" t="s">
        <v>188</v>
      </c>
      <c r="V60" s="41" t="s">
        <v>188</v>
      </c>
      <c r="W60" s="41" t="s">
        <v>188</v>
      </c>
      <c r="X60" s="9"/>
      <c r="Y60" s="9"/>
      <c r="Z60" s="9"/>
      <c r="AA60" s="9"/>
    </row>
    <row r="61" ht="19.5" customHeight="1" spans="1:27">
      <c r="A61" s="1">
        <v>61</v>
      </c>
      <c r="B61" s="29" t="s">
        <v>189</v>
      </c>
      <c r="C61" s="14" t="s">
        <v>190</v>
      </c>
      <c r="D61" s="30">
        <v>90</v>
      </c>
      <c r="E61" s="30">
        <v>90</v>
      </c>
      <c r="F61" s="30">
        <v>90</v>
      </c>
      <c r="G61" s="30">
        <v>90</v>
      </c>
      <c r="H61" s="30">
        <v>145</v>
      </c>
      <c r="I61" s="8">
        <v>145</v>
      </c>
      <c r="J61" s="8">
        <v>180</v>
      </c>
      <c r="K61" s="8">
        <v>180</v>
      </c>
      <c r="L61" s="8">
        <v>225</v>
      </c>
      <c r="M61" s="8">
        <v>290</v>
      </c>
      <c r="N61" s="8">
        <v>420</v>
      </c>
      <c r="O61" s="8">
        <v>420</v>
      </c>
      <c r="P61" s="8">
        <v>570</v>
      </c>
      <c r="Q61" s="8">
        <v>570</v>
      </c>
      <c r="R61" s="8">
        <v>600</v>
      </c>
      <c r="S61" s="8">
        <v>600</v>
      </c>
      <c r="T61" s="8">
        <v>600</v>
      </c>
      <c r="U61" s="8">
        <v>900</v>
      </c>
      <c r="V61" s="8">
        <v>900</v>
      </c>
      <c r="W61" s="8">
        <v>900</v>
      </c>
      <c r="X61" s="9"/>
      <c r="Y61" s="9"/>
      <c r="Z61" s="9"/>
      <c r="AA61" s="9"/>
    </row>
    <row r="62" ht="19.5" customHeight="1" spans="1:27">
      <c r="A62" s="1">
        <v>62</v>
      </c>
      <c r="B62" s="29" t="s">
        <v>191</v>
      </c>
      <c r="C62" s="14" t="s">
        <v>192</v>
      </c>
      <c r="D62" s="30">
        <v>0.2</v>
      </c>
      <c r="E62" s="30">
        <v>0.2</v>
      </c>
      <c r="F62" s="30">
        <v>0.2</v>
      </c>
      <c r="G62" s="30">
        <v>0.2</v>
      </c>
      <c r="H62" s="30">
        <v>0.16</v>
      </c>
      <c r="I62" s="8">
        <v>0.16</v>
      </c>
      <c r="J62" s="8">
        <v>0.19</v>
      </c>
      <c r="K62" s="8">
        <v>0.19</v>
      </c>
      <c r="L62" s="8">
        <v>0.25</v>
      </c>
      <c r="M62" s="8">
        <v>0.47</v>
      </c>
      <c r="N62" s="8">
        <v>0.6</v>
      </c>
      <c r="O62" s="8">
        <v>0.6</v>
      </c>
      <c r="P62" s="8">
        <v>0.7</v>
      </c>
      <c r="Q62" s="8">
        <v>0.7</v>
      </c>
      <c r="R62" s="8">
        <v>0.7</v>
      </c>
      <c r="S62" s="8">
        <v>0.7</v>
      </c>
      <c r="T62" s="8">
        <v>0.7</v>
      </c>
      <c r="U62" s="23">
        <v>0.92</v>
      </c>
      <c r="V62" s="23">
        <v>0.92</v>
      </c>
      <c r="W62" s="23">
        <v>0.92</v>
      </c>
      <c r="X62" s="9"/>
      <c r="Y62" s="9"/>
      <c r="Z62" s="9"/>
      <c r="AA62" s="9"/>
    </row>
    <row r="63" ht="19.5" customHeight="1" spans="1:27">
      <c r="A63" s="1">
        <v>63</v>
      </c>
      <c r="B63" s="2" t="s">
        <v>193</v>
      </c>
      <c r="C63" s="3"/>
      <c r="D63" s="24" t="s">
        <v>188</v>
      </c>
      <c r="E63" s="24" t="s">
        <v>188</v>
      </c>
      <c r="F63" s="24" t="s">
        <v>188</v>
      </c>
      <c r="G63" s="24" t="s">
        <v>188</v>
      </c>
      <c r="H63" s="24" t="s">
        <v>188</v>
      </c>
      <c r="I63" s="24" t="s">
        <v>188</v>
      </c>
      <c r="J63" s="24" t="s">
        <v>188</v>
      </c>
      <c r="K63" s="24" t="s">
        <v>188</v>
      </c>
      <c r="L63" s="24" t="s">
        <v>188</v>
      </c>
      <c r="M63" s="24" t="s">
        <v>188</v>
      </c>
      <c r="N63" s="24" t="s">
        <v>188</v>
      </c>
      <c r="O63" s="24" t="s">
        <v>188</v>
      </c>
      <c r="P63" s="24" t="s">
        <v>188</v>
      </c>
      <c r="Q63" s="24" t="s">
        <v>188</v>
      </c>
      <c r="R63" s="24" t="s">
        <v>188</v>
      </c>
      <c r="S63" s="24" t="s">
        <v>188</v>
      </c>
      <c r="T63" s="24" t="s">
        <v>188</v>
      </c>
      <c r="U63" s="24" t="s">
        <v>188</v>
      </c>
      <c r="V63" s="24" t="s">
        <v>188</v>
      </c>
      <c r="W63" s="24" t="s">
        <v>188</v>
      </c>
      <c r="X63" s="9"/>
      <c r="Y63" s="9"/>
      <c r="Z63" s="9"/>
      <c r="AA63" s="9"/>
    </row>
    <row r="64" ht="19.5" customHeight="1" spans="1:27">
      <c r="A64" s="1">
        <v>64</v>
      </c>
      <c r="B64" s="2" t="s">
        <v>194</v>
      </c>
      <c r="C64" s="3"/>
      <c r="D64" s="42" t="s">
        <v>195</v>
      </c>
      <c r="E64" s="42" t="s">
        <v>195</v>
      </c>
      <c r="F64" s="42" t="s">
        <v>195</v>
      </c>
      <c r="G64" s="42" t="s">
        <v>195</v>
      </c>
      <c r="H64" s="42" t="s">
        <v>195</v>
      </c>
      <c r="I64" s="42" t="s">
        <v>195</v>
      </c>
      <c r="J64" s="42" t="s">
        <v>195</v>
      </c>
      <c r="K64" s="42" t="s">
        <v>195</v>
      </c>
      <c r="L64" s="42" t="s">
        <v>195</v>
      </c>
      <c r="M64" s="42" t="s">
        <v>195</v>
      </c>
      <c r="N64" s="42" t="s">
        <v>195</v>
      </c>
      <c r="O64" s="42" t="s">
        <v>195</v>
      </c>
      <c r="P64" s="42" t="s">
        <v>195</v>
      </c>
      <c r="Q64" s="42" t="s">
        <v>195</v>
      </c>
      <c r="R64" s="42" t="s">
        <v>195</v>
      </c>
      <c r="S64" s="42" t="s">
        <v>195</v>
      </c>
      <c r="T64" s="42" t="s">
        <v>195</v>
      </c>
      <c r="U64" s="42" t="s">
        <v>195</v>
      </c>
      <c r="V64" s="42" t="s">
        <v>195</v>
      </c>
      <c r="W64" s="42" t="s">
        <v>195</v>
      </c>
      <c r="X64" s="9"/>
      <c r="Y64" s="9"/>
      <c r="Z64" s="9"/>
      <c r="AA64" s="9"/>
    </row>
    <row r="65" ht="19.5" customHeight="1" spans="1:27">
      <c r="A65" s="1">
        <v>65</v>
      </c>
      <c r="B65" s="2" t="s">
        <v>196</v>
      </c>
      <c r="C65" s="3"/>
      <c r="D65" s="24" t="s">
        <v>86</v>
      </c>
      <c r="E65" s="24" t="s">
        <v>86</v>
      </c>
      <c r="F65" s="24" t="s">
        <v>86</v>
      </c>
      <c r="G65" s="24" t="s">
        <v>86</v>
      </c>
      <c r="H65" s="24" t="s">
        <v>86</v>
      </c>
      <c r="I65" s="24" t="s">
        <v>86</v>
      </c>
      <c r="J65" s="24" t="s">
        <v>86</v>
      </c>
      <c r="K65" s="24" t="s">
        <v>86</v>
      </c>
      <c r="L65" s="24" t="s">
        <v>86</v>
      </c>
      <c r="M65" s="24" t="s">
        <v>86</v>
      </c>
      <c r="N65" s="24" t="s">
        <v>86</v>
      </c>
      <c r="O65" s="24" t="s">
        <v>86</v>
      </c>
      <c r="P65" s="24" t="s">
        <v>86</v>
      </c>
      <c r="Q65" s="24" t="s">
        <v>86</v>
      </c>
      <c r="R65" s="24" t="s">
        <v>86</v>
      </c>
      <c r="S65" s="24" t="s">
        <v>86</v>
      </c>
      <c r="T65" s="24" t="s">
        <v>86</v>
      </c>
      <c r="U65" s="24" t="s">
        <v>86</v>
      </c>
      <c r="V65" s="24" t="s">
        <v>86</v>
      </c>
      <c r="W65" s="24" t="s">
        <v>86</v>
      </c>
      <c r="X65" s="9"/>
      <c r="Y65" s="9"/>
      <c r="Z65" s="9"/>
      <c r="AA65" s="9"/>
    </row>
    <row r="66" ht="19.5" customHeight="1" spans="1:27">
      <c r="A66" s="1">
        <v>66</v>
      </c>
      <c r="B66" s="2" t="s">
        <v>197</v>
      </c>
      <c r="C66" s="3"/>
      <c r="D66" s="24" t="s">
        <v>86</v>
      </c>
      <c r="E66" s="24" t="s">
        <v>86</v>
      </c>
      <c r="F66" s="24" t="s">
        <v>86</v>
      </c>
      <c r="G66" s="24" t="s">
        <v>86</v>
      </c>
      <c r="H66" s="24" t="s">
        <v>86</v>
      </c>
      <c r="I66" s="24" t="s">
        <v>86</v>
      </c>
      <c r="J66" s="24" t="s">
        <v>86</v>
      </c>
      <c r="K66" s="24" t="s">
        <v>86</v>
      </c>
      <c r="L66" s="24" t="s">
        <v>86</v>
      </c>
      <c r="M66" s="24" t="s">
        <v>86</v>
      </c>
      <c r="N66" s="24" t="s">
        <v>86</v>
      </c>
      <c r="O66" s="24" t="s">
        <v>86</v>
      </c>
      <c r="P66" s="24" t="s">
        <v>86</v>
      </c>
      <c r="Q66" s="24" t="s">
        <v>86</v>
      </c>
      <c r="R66" s="24" t="s">
        <v>86</v>
      </c>
      <c r="S66" s="24" t="s">
        <v>86</v>
      </c>
      <c r="T66" s="24" t="s">
        <v>86</v>
      </c>
      <c r="U66" s="24" t="s">
        <v>86</v>
      </c>
      <c r="V66" s="24" t="s">
        <v>86</v>
      </c>
      <c r="W66" s="24" t="s">
        <v>86</v>
      </c>
      <c r="X66" s="9"/>
      <c r="Y66" s="9"/>
      <c r="Z66" s="9"/>
      <c r="AA66" s="9"/>
    </row>
    <row r="67" ht="19.5" customHeight="1" spans="1:27">
      <c r="A67" s="1">
        <v>67</v>
      </c>
      <c r="B67" s="2" t="s">
        <v>198</v>
      </c>
      <c r="C67" s="3"/>
      <c r="D67" s="24" t="s">
        <v>86</v>
      </c>
      <c r="E67" s="24" t="s">
        <v>86</v>
      </c>
      <c r="F67" s="24" t="s">
        <v>86</v>
      </c>
      <c r="G67" s="24" t="s">
        <v>86</v>
      </c>
      <c r="H67" s="24" t="s">
        <v>86</v>
      </c>
      <c r="I67" s="24" t="s">
        <v>86</v>
      </c>
      <c r="J67" s="24" t="s">
        <v>86</v>
      </c>
      <c r="K67" s="24" t="s">
        <v>86</v>
      </c>
      <c r="L67" s="24" t="s">
        <v>86</v>
      </c>
      <c r="M67" s="24" t="s">
        <v>86</v>
      </c>
      <c r="N67" s="24" t="s">
        <v>86</v>
      </c>
      <c r="O67" s="24" t="s">
        <v>86</v>
      </c>
      <c r="P67" s="24" t="s">
        <v>86</v>
      </c>
      <c r="Q67" s="24" t="s">
        <v>86</v>
      </c>
      <c r="R67" s="24" t="s">
        <v>86</v>
      </c>
      <c r="S67" s="24" t="s">
        <v>86</v>
      </c>
      <c r="T67" s="24" t="s">
        <v>86</v>
      </c>
      <c r="U67" s="24" t="s">
        <v>86</v>
      </c>
      <c r="V67" s="24" t="s">
        <v>86</v>
      </c>
      <c r="W67" s="24" t="s">
        <v>86</v>
      </c>
      <c r="X67" s="9"/>
      <c r="Y67" s="9"/>
      <c r="Z67" s="9"/>
      <c r="AA67" s="9"/>
    </row>
    <row r="68" ht="19.5" customHeight="1" spans="1:27">
      <c r="A68" s="1">
        <v>68</v>
      </c>
      <c r="B68" s="2" t="s">
        <v>199</v>
      </c>
      <c r="C68" s="3"/>
      <c r="D68" s="24" t="s">
        <v>86</v>
      </c>
      <c r="E68" s="24" t="s">
        <v>86</v>
      </c>
      <c r="F68" s="24" t="s">
        <v>86</v>
      </c>
      <c r="G68" s="24" t="s">
        <v>86</v>
      </c>
      <c r="H68" s="24" t="s">
        <v>86</v>
      </c>
      <c r="I68" s="24" t="s">
        <v>86</v>
      </c>
      <c r="J68" s="24" t="s">
        <v>86</v>
      </c>
      <c r="K68" s="24" t="s">
        <v>86</v>
      </c>
      <c r="L68" s="24" t="s">
        <v>86</v>
      </c>
      <c r="M68" s="24" t="s">
        <v>86</v>
      </c>
      <c r="N68" s="24" t="s">
        <v>86</v>
      </c>
      <c r="O68" s="24" t="s">
        <v>86</v>
      </c>
      <c r="P68" s="24" t="s">
        <v>86</v>
      </c>
      <c r="Q68" s="24" t="s">
        <v>86</v>
      </c>
      <c r="R68" s="24" t="s">
        <v>86</v>
      </c>
      <c r="S68" s="24" t="s">
        <v>86</v>
      </c>
      <c r="T68" s="24" t="s">
        <v>86</v>
      </c>
      <c r="U68" s="24" t="s">
        <v>86</v>
      </c>
      <c r="V68" s="24" t="s">
        <v>86</v>
      </c>
      <c r="W68" s="24" t="s">
        <v>86</v>
      </c>
      <c r="X68" s="9"/>
      <c r="Y68" s="9"/>
      <c r="Z68" s="9"/>
      <c r="AA68" s="9"/>
    </row>
    <row r="69" ht="19.5" customHeight="1" spans="1:27">
      <c r="A69" s="1">
        <v>69</v>
      </c>
      <c r="B69" s="2" t="s">
        <v>200</v>
      </c>
      <c r="C69" s="3"/>
      <c r="D69" s="24" t="s">
        <v>86</v>
      </c>
      <c r="E69" s="24" t="s">
        <v>86</v>
      </c>
      <c r="F69" s="24" t="s">
        <v>86</v>
      </c>
      <c r="G69" s="24" t="s">
        <v>86</v>
      </c>
      <c r="H69" s="24" t="s">
        <v>86</v>
      </c>
      <c r="I69" s="24" t="s">
        <v>86</v>
      </c>
      <c r="J69" s="24" t="s">
        <v>86</v>
      </c>
      <c r="K69" s="24" t="s">
        <v>86</v>
      </c>
      <c r="L69" s="24" t="s">
        <v>86</v>
      </c>
      <c r="M69" s="24" t="s">
        <v>86</v>
      </c>
      <c r="N69" s="24" t="s">
        <v>86</v>
      </c>
      <c r="O69" s="24" t="s">
        <v>86</v>
      </c>
      <c r="P69" s="24" t="s">
        <v>86</v>
      </c>
      <c r="Q69" s="24" t="s">
        <v>86</v>
      </c>
      <c r="R69" s="24" t="s">
        <v>86</v>
      </c>
      <c r="S69" s="24" t="s">
        <v>86</v>
      </c>
      <c r="T69" s="24" t="s">
        <v>86</v>
      </c>
      <c r="U69" s="24" t="s">
        <v>86</v>
      </c>
      <c r="V69" s="24" t="s">
        <v>86</v>
      </c>
      <c r="W69" s="24" t="s">
        <v>86</v>
      </c>
      <c r="X69" s="9"/>
      <c r="Y69" s="9"/>
      <c r="Z69" s="9"/>
      <c r="AA69" s="9"/>
    </row>
    <row r="70" ht="19.5" customHeight="1" spans="1:27">
      <c r="A70" s="1">
        <v>70</v>
      </c>
      <c r="B70" s="2" t="s">
        <v>201</v>
      </c>
      <c r="C70" s="3"/>
      <c r="D70" s="24" t="s">
        <v>86</v>
      </c>
      <c r="E70" s="24" t="s">
        <v>86</v>
      </c>
      <c r="F70" s="24" t="s">
        <v>86</v>
      </c>
      <c r="G70" s="24" t="s">
        <v>86</v>
      </c>
      <c r="H70" s="24" t="s">
        <v>86</v>
      </c>
      <c r="I70" s="24" t="s">
        <v>86</v>
      </c>
      <c r="J70" s="24" t="s">
        <v>86</v>
      </c>
      <c r="K70" s="24" t="s">
        <v>86</v>
      </c>
      <c r="L70" s="24" t="s">
        <v>86</v>
      </c>
      <c r="M70" s="24" t="s">
        <v>86</v>
      </c>
      <c r="N70" s="24" t="s">
        <v>86</v>
      </c>
      <c r="O70" s="24" t="s">
        <v>86</v>
      </c>
      <c r="P70" s="24" t="s">
        <v>86</v>
      </c>
      <c r="Q70" s="24" t="s">
        <v>86</v>
      </c>
      <c r="R70" s="24" t="s">
        <v>86</v>
      </c>
      <c r="S70" s="24" t="s">
        <v>86</v>
      </c>
      <c r="T70" s="24" t="s">
        <v>86</v>
      </c>
      <c r="U70" s="24" t="s">
        <v>86</v>
      </c>
      <c r="V70" s="24" t="s">
        <v>86</v>
      </c>
      <c r="W70" s="24" t="s">
        <v>86</v>
      </c>
      <c r="X70" s="9"/>
      <c r="Y70" s="9"/>
      <c r="Z70" s="9"/>
      <c r="AA70" s="9"/>
    </row>
    <row r="71" ht="19.5" customHeight="1" spans="1:27">
      <c r="A71" s="1">
        <v>71</v>
      </c>
      <c r="B71" s="2" t="s">
        <v>202</v>
      </c>
      <c r="C71" s="3"/>
      <c r="D71" s="24" t="s">
        <v>86</v>
      </c>
      <c r="E71" s="24" t="s">
        <v>86</v>
      </c>
      <c r="F71" s="24" t="s">
        <v>86</v>
      </c>
      <c r="G71" s="24" t="s">
        <v>86</v>
      </c>
      <c r="H71" s="24" t="s">
        <v>86</v>
      </c>
      <c r="I71" s="24" t="s">
        <v>86</v>
      </c>
      <c r="J71" s="24" t="s">
        <v>86</v>
      </c>
      <c r="K71" s="24" t="s">
        <v>86</v>
      </c>
      <c r="L71" s="24" t="s">
        <v>86</v>
      </c>
      <c r="M71" s="24" t="s">
        <v>86</v>
      </c>
      <c r="N71" s="24" t="s">
        <v>86</v>
      </c>
      <c r="O71" s="24" t="s">
        <v>86</v>
      </c>
      <c r="P71" s="24" t="s">
        <v>86</v>
      </c>
      <c r="Q71" s="24" t="s">
        <v>86</v>
      </c>
      <c r="R71" s="24" t="s">
        <v>86</v>
      </c>
      <c r="S71" s="24" t="s">
        <v>86</v>
      </c>
      <c r="T71" s="24" t="s">
        <v>86</v>
      </c>
      <c r="U71" s="24" t="s">
        <v>86</v>
      </c>
      <c r="V71" s="24" t="s">
        <v>86</v>
      </c>
      <c r="W71" s="24" t="s">
        <v>86</v>
      </c>
      <c r="X71" s="9"/>
      <c r="Y71" s="9"/>
      <c r="Z71" s="9"/>
      <c r="AA71" s="9"/>
    </row>
    <row r="72" ht="19.5" customHeight="1" spans="1:27">
      <c r="A72" s="4"/>
      <c r="B72" s="4"/>
      <c r="C72" s="4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ht="19.5" customHeight="1" spans="1:27">
      <c r="A73" s="4"/>
      <c r="B73" s="4"/>
      <c r="C73" s="4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ht="19.5" customHeight="1" spans="1:27">
      <c r="A74" s="4"/>
      <c r="B74" s="4"/>
      <c r="C74" s="4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ht="19.5" customHeight="1" spans="1:27">
      <c r="A75" s="4"/>
      <c r="B75" s="4"/>
      <c r="C75" s="4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ht="19.5" customHeight="1" spans="1:27">
      <c r="A76" s="4"/>
      <c r="B76" s="4"/>
      <c r="C76" s="4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ht="19.5" customHeight="1" spans="1:27">
      <c r="A77" s="4"/>
      <c r="B77" s="4"/>
      <c r="C77" s="4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ht="19.5" customHeight="1" spans="1:27">
      <c r="A78" s="4"/>
      <c r="B78" s="4"/>
      <c r="C78" s="4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ht="19.5" customHeight="1" spans="1:27">
      <c r="A79" s="4"/>
      <c r="B79" s="4"/>
      <c r="C79" s="4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ht="19.5" customHeight="1" spans="1:27">
      <c r="A80" s="4"/>
      <c r="B80" s="4"/>
      <c r="C80" s="4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ht="19.5" customHeight="1" spans="1:27">
      <c r="A81" s="4"/>
      <c r="B81" s="4"/>
      <c r="C81" s="4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ht="19.5" customHeight="1" spans="1:27">
      <c r="A82" s="4"/>
      <c r="B82" s="4"/>
      <c r="C82" s="4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ht="19.5" customHeight="1" spans="1:27">
      <c r="A83" s="4"/>
      <c r="B83" s="4"/>
      <c r="C83" s="4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ht="19.5" customHeight="1" spans="1:27">
      <c r="A84" s="4"/>
      <c r="B84" s="4"/>
      <c r="C84" s="4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ht="19.5" customHeight="1" spans="1:27">
      <c r="A85" s="4"/>
      <c r="B85" s="4"/>
      <c r="C85" s="4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ht="19.5" customHeight="1" spans="1:27">
      <c r="A86" s="4"/>
      <c r="B86" s="4"/>
      <c r="C86" s="4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ht="19.5" customHeight="1" spans="1:27">
      <c r="A87" s="4"/>
      <c r="B87" s="4"/>
      <c r="C87" s="4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ht="19.5" customHeight="1" spans="1:27">
      <c r="A88" s="4"/>
      <c r="B88" s="4"/>
      <c r="C88" s="4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ht="19.5" customHeight="1" spans="1:27">
      <c r="A89" s="4"/>
      <c r="B89" s="4"/>
      <c r="C89" s="4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ht="19.5" customHeight="1" spans="1:27">
      <c r="A90" s="4"/>
      <c r="B90" s="4"/>
      <c r="C90" s="4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ht="19.5" customHeight="1" spans="1:27">
      <c r="A91" s="4"/>
      <c r="B91" s="4"/>
      <c r="C91" s="4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ht="19.5" customHeight="1" spans="1:27">
      <c r="A92" s="4"/>
      <c r="B92" s="4"/>
      <c r="C92" s="4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ht="19.5" customHeight="1" spans="1:27">
      <c r="A93" s="4"/>
      <c r="B93" s="4"/>
      <c r="C93" s="4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ht="19.5" customHeight="1" spans="1:27">
      <c r="A94" s="4"/>
      <c r="B94" s="4"/>
      <c r="C94" s="4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ht="19.5" customHeight="1" spans="1:27">
      <c r="A95" s="4"/>
      <c r="B95" s="4"/>
      <c r="C95" s="4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ht="19.5" customHeight="1" spans="1:27">
      <c r="A96" s="4"/>
      <c r="B96" s="4"/>
      <c r="C96" s="4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ht="19.5" customHeight="1" spans="1:27">
      <c r="A97" s="4"/>
      <c r="B97" s="4"/>
      <c r="C97" s="4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ht="19.5" customHeight="1" spans="1:27">
      <c r="A98" s="4"/>
      <c r="B98" s="4"/>
      <c r="C98" s="4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ht="19.5" customHeight="1" spans="1:27">
      <c r="A99" s="4"/>
      <c r="B99" s="4"/>
      <c r="C99" s="4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ht="19.5" customHeight="1" spans="1:27">
      <c r="A100" s="4"/>
      <c r="B100" s="4"/>
      <c r="C100" s="4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ht="19.5" customHeight="1" spans="1:27">
      <c r="A101" s="4"/>
      <c r="B101" s="4"/>
      <c r="C101" s="4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ht="19.5" customHeight="1" spans="1:27">
      <c r="A102" s="4"/>
      <c r="B102" s="4"/>
      <c r="C102" s="4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ht="19.5" customHeight="1" spans="1:27">
      <c r="A103" s="4"/>
      <c r="B103" s="4"/>
      <c r="C103" s="4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ht="19.5" customHeight="1" spans="1:27">
      <c r="A104" s="4"/>
      <c r="B104" s="4"/>
      <c r="C104" s="4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ht="19.5" customHeight="1" spans="1:27">
      <c r="A105" s="4"/>
      <c r="B105" s="4"/>
      <c r="C105" s="4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ht="19.5" customHeight="1" spans="1:27">
      <c r="A106" s="4"/>
      <c r="B106" s="4"/>
      <c r="C106" s="4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ht="19.5" customHeight="1" spans="1:27">
      <c r="A107" s="4"/>
      <c r="B107" s="4"/>
      <c r="C107" s="4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ht="19.5" customHeight="1" spans="1:27">
      <c r="A108" s="4"/>
      <c r="B108" s="4"/>
      <c r="C108" s="4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ht="19.5" customHeight="1" spans="1:27">
      <c r="A109" s="4"/>
      <c r="B109" s="4"/>
      <c r="C109" s="4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ht="19.5" customHeight="1" spans="1:27">
      <c r="A110" s="4"/>
      <c r="B110" s="4"/>
      <c r="C110" s="4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ht="19.5" customHeight="1" spans="1:27">
      <c r="A111" s="4"/>
      <c r="B111" s="4"/>
      <c r="C111" s="4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ht="19.5" customHeight="1" spans="1:27">
      <c r="A112" s="4"/>
      <c r="B112" s="4"/>
      <c r="C112" s="4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ht="19.5" customHeight="1" spans="1:27">
      <c r="A113" s="4"/>
      <c r="B113" s="4"/>
      <c r="C113" s="4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ht="19.5" customHeight="1" spans="1:27">
      <c r="A114" s="4"/>
      <c r="B114" s="4"/>
      <c r="C114" s="4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ht="19.5" customHeight="1" spans="1:27">
      <c r="A115" s="4"/>
      <c r="B115" s="4"/>
      <c r="C115" s="4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ht="19.5" customHeight="1" spans="1:27">
      <c r="A116" s="4"/>
      <c r="B116" s="4"/>
      <c r="C116" s="4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ht="19.5" customHeight="1" spans="1:27">
      <c r="A117" s="4"/>
      <c r="B117" s="4"/>
      <c r="C117" s="4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ht="19.5" customHeight="1" spans="1:27">
      <c r="A118" s="4"/>
      <c r="B118" s="4"/>
      <c r="C118" s="4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ht="19.5" customHeight="1" spans="1:27">
      <c r="A119" s="4"/>
      <c r="B119" s="4"/>
      <c r="C119" s="4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ht="19.5" customHeight="1" spans="1:27">
      <c r="A120" s="4"/>
      <c r="B120" s="4"/>
      <c r="C120" s="4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ht="19.5" customHeight="1" spans="1:27">
      <c r="A121" s="4"/>
      <c r="B121" s="4"/>
      <c r="C121" s="4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ht="19.5" customHeight="1" spans="1:27">
      <c r="A122" s="4"/>
      <c r="B122" s="4"/>
      <c r="C122" s="4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ht="19.5" customHeight="1" spans="1:27">
      <c r="A123" s="4"/>
      <c r="B123" s="4"/>
      <c r="C123" s="4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ht="19.5" customHeight="1" spans="1:27">
      <c r="A124" s="4"/>
      <c r="B124" s="4"/>
      <c r="C124" s="4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ht="19.5" customHeight="1" spans="1:27">
      <c r="A125" s="4"/>
      <c r="B125" s="4"/>
      <c r="C125" s="4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ht="19.5" customHeight="1" spans="1:27">
      <c r="A126" s="4"/>
      <c r="B126" s="4"/>
      <c r="C126" s="4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ht="19.5" customHeight="1" spans="1:27">
      <c r="A127" s="4"/>
      <c r="B127" s="4"/>
      <c r="C127" s="4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ht="19.5" customHeight="1" spans="1:27">
      <c r="A128" s="4"/>
      <c r="B128" s="4"/>
      <c r="C128" s="4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ht="19.5" customHeight="1" spans="1:27">
      <c r="A129" s="4"/>
      <c r="B129" s="4"/>
      <c r="C129" s="4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ht="19.5" customHeight="1" spans="1:27">
      <c r="A130" s="4"/>
      <c r="B130" s="4"/>
      <c r="C130" s="4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ht="19.5" customHeight="1" spans="1:27">
      <c r="A131" s="4"/>
      <c r="B131" s="4"/>
      <c r="C131" s="4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ht="19.5" customHeight="1" spans="1:27">
      <c r="A132" s="4"/>
      <c r="B132" s="4"/>
      <c r="C132" s="4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ht="19.5" customHeight="1" spans="1:27">
      <c r="A133" s="4"/>
      <c r="B133" s="4"/>
      <c r="C133" s="4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ht="19.5" customHeight="1" spans="1:27">
      <c r="A134" s="4"/>
      <c r="B134" s="4"/>
      <c r="C134" s="4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ht="19.5" customHeight="1" spans="1:27">
      <c r="A135" s="4"/>
      <c r="B135" s="4"/>
      <c r="C135" s="4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ht="19.5" customHeight="1" spans="1:27">
      <c r="A136" s="4"/>
      <c r="B136" s="4"/>
      <c r="C136" s="4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ht="19.5" customHeight="1" spans="1:27">
      <c r="A137" s="4"/>
      <c r="B137" s="4"/>
      <c r="C137" s="4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ht="19.5" customHeight="1" spans="1:27">
      <c r="A138" s="4"/>
      <c r="B138" s="4"/>
      <c r="C138" s="4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ht="19.5" customHeight="1" spans="1:27">
      <c r="A139" s="4"/>
      <c r="B139" s="4"/>
      <c r="C139" s="4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ht="19.5" customHeight="1" spans="1:27">
      <c r="A140" s="4"/>
      <c r="B140" s="4"/>
      <c r="C140" s="4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ht="19.5" customHeight="1" spans="1:27">
      <c r="A141" s="4"/>
      <c r="B141" s="4"/>
      <c r="C141" s="4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ht="19.5" customHeight="1" spans="1:27">
      <c r="A142" s="4"/>
      <c r="B142" s="4"/>
      <c r="C142" s="4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ht="19.5" customHeight="1" spans="1:27">
      <c r="A143" s="4"/>
      <c r="B143" s="4"/>
      <c r="C143" s="4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ht="19.5" customHeight="1" spans="1:27">
      <c r="A144" s="4"/>
      <c r="B144" s="4"/>
      <c r="C144" s="4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ht="19.5" customHeight="1" spans="1:27">
      <c r="A145" s="4"/>
      <c r="B145" s="4"/>
      <c r="C145" s="4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ht="19.5" customHeight="1" spans="1:27">
      <c r="A146" s="4"/>
      <c r="B146" s="4"/>
      <c r="C146" s="4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ht="19.5" customHeight="1" spans="1:27">
      <c r="A147" s="4"/>
      <c r="B147" s="4"/>
      <c r="C147" s="4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ht="19.5" customHeight="1" spans="1:27">
      <c r="A148" s="4"/>
      <c r="B148" s="4"/>
      <c r="C148" s="4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ht="19.5" customHeight="1" spans="1:27">
      <c r="A149" s="4"/>
      <c r="B149" s="4"/>
      <c r="C149" s="4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ht="19.5" customHeight="1" spans="1:27">
      <c r="A150" s="4"/>
      <c r="B150" s="4"/>
      <c r="C150" s="4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ht="19.5" customHeight="1" spans="1:27">
      <c r="A151" s="4"/>
      <c r="B151" s="4"/>
      <c r="C151" s="4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ht="19.5" customHeight="1" spans="1:27">
      <c r="A152" s="4"/>
      <c r="B152" s="4"/>
      <c r="C152" s="4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ht="19.5" customHeight="1" spans="1:27">
      <c r="A153" s="4"/>
      <c r="B153" s="4"/>
      <c r="C153" s="4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ht="19.5" customHeight="1" spans="1:27">
      <c r="A154" s="4"/>
      <c r="B154" s="4"/>
      <c r="C154" s="4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ht="19.5" customHeight="1" spans="1:27">
      <c r="A155" s="4"/>
      <c r="B155" s="4"/>
      <c r="C155" s="4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ht="19.5" customHeight="1" spans="1:27">
      <c r="A156" s="4"/>
      <c r="B156" s="4"/>
      <c r="C156" s="4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ht="19.5" customHeight="1" spans="1:27">
      <c r="A157" s="4"/>
      <c r="B157" s="4"/>
      <c r="C157" s="4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ht="19.5" customHeight="1" spans="1:27">
      <c r="A158" s="4"/>
      <c r="B158" s="4"/>
      <c r="C158" s="4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ht="19.5" customHeight="1" spans="1:27">
      <c r="A159" s="4"/>
      <c r="B159" s="4"/>
      <c r="C159" s="4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ht="19.5" customHeight="1" spans="1:27">
      <c r="A160" s="4"/>
      <c r="B160" s="4"/>
      <c r="C160" s="4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ht="19.5" customHeight="1" spans="1:27">
      <c r="A161" s="4"/>
      <c r="B161" s="4"/>
      <c r="C161" s="4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ht="19.5" customHeight="1" spans="1:27">
      <c r="A162" s="4"/>
      <c r="B162" s="4"/>
      <c r="C162" s="4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ht="19.5" customHeight="1" spans="1:27">
      <c r="A163" s="4"/>
      <c r="B163" s="4"/>
      <c r="C163" s="4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ht="19.5" customHeight="1" spans="1:27">
      <c r="A164" s="4"/>
      <c r="B164" s="4"/>
      <c r="C164" s="4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ht="19.5" customHeight="1" spans="1:27">
      <c r="A165" s="4"/>
      <c r="B165" s="4"/>
      <c r="C165" s="4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ht="19.5" customHeight="1" spans="1:27">
      <c r="A166" s="4"/>
      <c r="B166" s="4"/>
      <c r="C166" s="4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ht="19.5" customHeight="1" spans="1:27">
      <c r="A167" s="4"/>
      <c r="B167" s="4"/>
      <c r="C167" s="4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ht="19.5" customHeight="1" spans="1:27">
      <c r="A168" s="4"/>
      <c r="B168" s="4"/>
      <c r="C168" s="4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ht="19.5" customHeight="1" spans="1:27">
      <c r="A169" s="4"/>
      <c r="B169" s="4"/>
      <c r="C169" s="4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ht="19.5" customHeight="1" spans="1:27">
      <c r="A170" s="4"/>
      <c r="B170" s="4"/>
      <c r="C170" s="4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ht="19.5" customHeight="1" spans="1:27">
      <c r="A171" s="4"/>
      <c r="B171" s="4"/>
      <c r="C171" s="4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ht="19.5" customHeight="1" spans="1:27">
      <c r="A172" s="4"/>
      <c r="B172" s="4"/>
      <c r="C172" s="4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ht="19.5" customHeight="1" spans="1:27">
      <c r="A173" s="4"/>
      <c r="B173" s="4"/>
      <c r="C173" s="4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ht="19.5" customHeight="1" spans="1:27">
      <c r="A174" s="4"/>
      <c r="B174" s="4"/>
      <c r="C174" s="4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ht="19.5" customHeight="1" spans="1:27">
      <c r="A175" s="4"/>
      <c r="B175" s="4"/>
      <c r="C175" s="4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ht="19.5" customHeight="1" spans="1:27">
      <c r="A176" s="4"/>
      <c r="B176" s="4"/>
      <c r="C176" s="4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ht="19.5" customHeight="1" spans="1:27">
      <c r="A177" s="4"/>
      <c r="B177" s="4"/>
      <c r="C177" s="4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ht="19.5" customHeight="1" spans="1:27">
      <c r="A178" s="4"/>
      <c r="B178" s="4"/>
      <c r="C178" s="4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ht="19.5" customHeight="1" spans="1:27">
      <c r="A179" s="4"/>
      <c r="B179" s="4"/>
      <c r="C179" s="4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ht="19.5" customHeight="1" spans="1:27">
      <c r="A180" s="4"/>
      <c r="B180" s="4"/>
      <c r="C180" s="4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ht="19.5" customHeight="1" spans="1:27">
      <c r="A181" s="4"/>
      <c r="B181" s="4"/>
      <c r="C181" s="4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ht="19.5" customHeight="1" spans="1:27">
      <c r="A182" s="4"/>
      <c r="B182" s="4"/>
      <c r="C182" s="4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ht="19.5" customHeight="1" spans="1:27">
      <c r="A183" s="4"/>
      <c r="B183" s="4"/>
      <c r="C183" s="4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ht="19.5" customHeight="1" spans="1:27">
      <c r="A184" s="4"/>
      <c r="B184" s="4"/>
      <c r="C184" s="4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ht="19.5" customHeight="1" spans="1:27">
      <c r="A185" s="4"/>
      <c r="B185" s="4"/>
      <c r="C185" s="4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ht="19.5" customHeight="1" spans="1:27">
      <c r="A186" s="4"/>
      <c r="B186" s="4"/>
      <c r="C186" s="4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ht="19.5" customHeight="1" spans="1:27">
      <c r="A187" s="4"/>
      <c r="B187" s="4"/>
      <c r="C187" s="4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ht="19.5" customHeight="1" spans="1:27">
      <c r="A188" s="4"/>
      <c r="B188" s="4"/>
      <c r="C188" s="4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ht="19.5" customHeight="1" spans="1:27">
      <c r="A189" s="4"/>
      <c r="B189" s="4"/>
      <c r="C189" s="4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ht="19.5" customHeight="1" spans="1:27">
      <c r="A190" s="4"/>
      <c r="B190" s="4"/>
      <c r="C190" s="4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ht="19.5" customHeight="1" spans="1:27">
      <c r="A191" s="4"/>
      <c r="B191" s="4"/>
      <c r="C191" s="4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ht="19.5" customHeight="1" spans="1:27">
      <c r="A192" s="4"/>
      <c r="B192" s="4"/>
      <c r="C192" s="4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ht="19.5" customHeight="1" spans="1:27">
      <c r="A193" s="4"/>
      <c r="B193" s="4"/>
      <c r="C193" s="4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ht="19.5" customHeight="1" spans="1:27">
      <c r="A194" s="4"/>
      <c r="B194" s="4"/>
      <c r="C194" s="4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ht="19.5" customHeight="1" spans="1:27">
      <c r="A195" s="4"/>
      <c r="B195" s="4"/>
      <c r="C195" s="4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ht="19.5" customHeight="1" spans="1:27">
      <c r="A196" s="4"/>
      <c r="B196" s="4"/>
      <c r="C196" s="4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ht="19.5" customHeight="1" spans="1:27">
      <c r="A197" s="4"/>
      <c r="B197" s="4"/>
      <c r="C197" s="4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ht="19.5" customHeight="1" spans="1:27">
      <c r="A198" s="4"/>
      <c r="B198" s="4"/>
      <c r="C198" s="4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ht="19.5" customHeight="1" spans="1:27">
      <c r="A199" s="4"/>
      <c r="B199" s="4"/>
      <c r="C199" s="4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ht="19.5" customHeight="1" spans="1:27">
      <c r="A200" s="4"/>
      <c r="B200" s="4"/>
      <c r="C200" s="4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ht="19.5" customHeight="1" spans="1:27">
      <c r="A201" s="4"/>
      <c r="B201" s="4"/>
      <c r="C201" s="4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ht="19.5" customHeight="1" spans="1:27">
      <c r="A202" s="4"/>
      <c r="B202" s="4"/>
      <c r="C202" s="4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ht="19.5" customHeight="1" spans="1:27">
      <c r="A203" s="4"/>
      <c r="B203" s="4"/>
      <c r="C203" s="4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ht="19.5" customHeight="1" spans="1:27">
      <c r="A204" s="4"/>
      <c r="B204" s="4"/>
      <c r="C204" s="4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ht="19.5" customHeight="1" spans="1:27">
      <c r="A205" s="4"/>
      <c r="B205" s="4"/>
      <c r="C205" s="4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ht="19.5" customHeight="1" spans="1:27">
      <c r="A206" s="4"/>
      <c r="B206" s="4"/>
      <c r="C206" s="4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ht="19.5" customHeight="1" spans="1:27">
      <c r="A207" s="4"/>
      <c r="B207" s="4"/>
      <c r="C207" s="4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ht="19.5" customHeight="1" spans="1:27">
      <c r="A208" s="4"/>
      <c r="B208" s="4"/>
      <c r="C208" s="4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ht="19.5" customHeight="1" spans="1:27">
      <c r="A209" s="4"/>
      <c r="B209" s="4"/>
      <c r="C209" s="4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ht="19.5" customHeight="1" spans="1:27">
      <c r="A210" s="4"/>
      <c r="B210" s="4"/>
      <c r="C210" s="4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ht="19.5" customHeight="1" spans="1:27">
      <c r="A211" s="4"/>
      <c r="B211" s="4"/>
      <c r="C211" s="4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ht="19.5" customHeight="1" spans="1:27">
      <c r="A212" s="4"/>
      <c r="B212" s="4"/>
      <c r="C212" s="4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ht="19.5" customHeight="1" spans="1:27">
      <c r="A213" s="4"/>
      <c r="B213" s="4"/>
      <c r="C213" s="4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ht="19.5" customHeight="1" spans="1:27">
      <c r="A214" s="4"/>
      <c r="B214" s="4"/>
      <c r="C214" s="4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ht="19.5" customHeight="1" spans="1:27">
      <c r="A215" s="4"/>
      <c r="B215" s="4"/>
      <c r="C215" s="4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ht="19.5" customHeight="1" spans="1:27">
      <c r="A216" s="4"/>
      <c r="B216" s="4"/>
      <c r="C216" s="4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ht="19.5" customHeight="1" spans="1:27">
      <c r="A217" s="4"/>
      <c r="B217" s="4"/>
      <c r="C217" s="4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ht="19.5" customHeight="1" spans="1:27">
      <c r="A218" s="4"/>
      <c r="B218" s="4"/>
      <c r="C218" s="4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ht="19.5" customHeight="1" spans="1:27">
      <c r="A219" s="4"/>
      <c r="B219" s="4"/>
      <c r="C219" s="4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ht="19.5" customHeight="1" spans="1:27">
      <c r="A220" s="4"/>
      <c r="B220" s="4"/>
      <c r="C220" s="4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ht="19.5" customHeight="1" spans="1:27">
      <c r="A221" s="4"/>
      <c r="B221" s="4"/>
      <c r="C221" s="4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ht="19.5" customHeight="1" spans="1:27">
      <c r="A222" s="4"/>
      <c r="B222" s="4"/>
      <c r="C222" s="4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ht="19.5" customHeight="1" spans="1:27">
      <c r="A223" s="4"/>
      <c r="B223" s="4"/>
      <c r="C223" s="4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ht="19.5" customHeight="1" spans="1:27">
      <c r="A224" s="4"/>
      <c r="B224" s="4"/>
      <c r="C224" s="4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ht="19.5" customHeight="1" spans="1:27">
      <c r="A225" s="4"/>
      <c r="B225" s="4"/>
      <c r="C225" s="4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ht="19.5" customHeight="1" spans="1:27">
      <c r="A226" s="4"/>
      <c r="B226" s="4"/>
      <c r="C226" s="4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ht="19.5" customHeight="1" spans="1:27">
      <c r="A227" s="4"/>
      <c r="B227" s="4"/>
      <c r="C227" s="4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ht="19.5" customHeight="1" spans="1:27">
      <c r="A228" s="4"/>
      <c r="B228" s="4"/>
      <c r="C228" s="4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ht="19.5" customHeight="1" spans="1:27">
      <c r="A229" s="4"/>
      <c r="B229" s="4"/>
      <c r="C229" s="4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ht="19.5" customHeight="1" spans="1:27">
      <c r="A230" s="4"/>
      <c r="B230" s="4"/>
      <c r="C230" s="4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ht="19.5" customHeight="1" spans="1:27">
      <c r="A231" s="4"/>
      <c r="B231" s="4"/>
      <c r="C231" s="4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ht="19.5" customHeight="1" spans="1:27">
      <c r="A232" s="4"/>
      <c r="B232" s="4"/>
      <c r="C232" s="4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ht="19.5" customHeight="1" spans="1:27">
      <c r="A233" s="4"/>
      <c r="B233" s="4"/>
      <c r="C233" s="4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ht="19.5" customHeight="1" spans="1:27">
      <c r="A234" s="4"/>
      <c r="B234" s="4"/>
      <c r="C234" s="4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ht="19.5" customHeight="1" spans="1:27">
      <c r="A235" s="4"/>
      <c r="B235" s="4"/>
      <c r="C235" s="4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ht="19.5" customHeight="1" spans="1:27">
      <c r="A236" s="4"/>
      <c r="B236" s="4"/>
      <c r="C236" s="4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ht="19.5" customHeight="1" spans="1:27">
      <c r="A237" s="4"/>
      <c r="B237" s="4"/>
      <c r="C237" s="4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ht="19.5" customHeight="1" spans="1:27">
      <c r="A238" s="4"/>
      <c r="B238" s="4"/>
      <c r="C238" s="4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ht="19.5" customHeight="1" spans="1:27">
      <c r="A239" s="4"/>
      <c r="B239" s="4"/>
      <c r="C239" s="4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ht="19.5" customHeight="1" spans="1:27">
      <c r="A240" s="4"/>
      <c r="B240" s="4"/>
      <c r="C240" s="4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ht="19.5" customHeight="1" spans="1:27">
      <c r="A241" s="4"/>
      <c r="B241" s="4"/>
      <c r="C241" s="4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ht="19.5" customHeight="1" spans="1:27">
      <c r="A242" s="4"/>
      <c r="B242" s="4"/>
      <c r="C242" s="4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ht="19.5" customHeight="1" spans="1:27">
      <c r="A243" s="4"/>
      <c r="B243" s="4"/>
      <c r="C243" s="4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ht="19.5" customHeight="1" spans="1:27">
      <c r="A244" s="4"/>
      <c r="B244" s="4"/>
      <c r="C244" s="4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ht="19.5" customHeight="1" spans="1:27">
      <c r="A245" s="4"/>
      <c r="B245" s="4"/>
      <c r="C245" s="4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ht="19.5" customHeight="1" spans="1:27">
      <c r="A246" s="4"/>
      <c r="B246" s="4"/>
      <c r="C246" s="4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ht="19.5" customHeight="1" spans="1:27">
      <c r="A247" s="4"/>
      <c r="B247" s="4"/>
      <c r="C247" s="4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ht="19.5" customHeight="1" spans="1:27">
      <c r="A248" s="4"/>
      <c r="B248" s="4"/>
      <c r="C248" s="4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ht="19.5" customHeight="1" spans="1:27">
      <c r="A249" s="4"/>
      <c r="B249" s="4"/>
      <c r="C249" s="4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ht="19.5" customHeight="1" spans="1:27">
      <c r="A250" s="4"/>
      <c r="B250" s="4"/>
      <c r="C250" s="4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ht="19.5" customHeight="1" spans="1:27">
      <c r="A251" s="4"/>
      <c r="B251" s="4"/>
      <c r="C251" s="4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ht="19.5" customHeight="1" spans="1:27">
      <c r="A252" s="4"/>
      <c r="B252" s="4"/>
      <c r="C252" s="4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ht="19.5" customHeight="1" spans="1:27">
      <c r="A253" s="4"/>
      <c r="B253" s="4"/>
      <c r="C253" s="4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ht="19.5" customHeight="1" spans="1:27">
      <c r="A254" s="4"/>
      <c r="B254" s="4"/>
      <c r="C254" s="4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ht="19.5" customHeight="1" spans="1:27">
      <c r="A255" s="4"/>
      <c r="B255" s="4"/>
      <c r="C255" s="4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ht="19.5" customHeight="1" spans="1:27">
      <c r="A256" s="4"/>
      <c r="B256" s="4"/>
      <c r="C256" s="4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ht="19.5" customHeight="1" spans="1:27">
      <c r="A257" s="4"/>
      <c r="B257" s="4"/>
      <c r="C257" s="4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ht="19.5" customHeight="1" spans="1:27">
      <c r="A258" s="4"/>
      <c r="B258" s="4"/>
      <c r="C258" s="4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ht="19.5" customHeight="1" spans="1:27">
      <c r="A259" s="4"/>
      <c r="B259" s="4"/>
      <c r="C259" s="4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ht="19.5" customHeight="1" spans="1:27">
      <c r="A260" s="4"/>
      <c r="B260" s="4"/>
      <c r="C260" s="4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ht="19.5" customHeight="1" spans="1:27">
      <c r="A261" s="4"/>
      <c r="B261" s="4"/>
      <c r="C261" s="4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ht="19.5" customHeight="1" spans="1:27">
      <c r="A262" s="4"/>
      <c r="B262" s="4"/>
      <c r="C262" s="4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ht="19.5" customHeight="1" spans="1:27">
      <c r="A263" s="4"/>
      <c r="B263" s="4"/>
      <c r="C263" s="4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ht="19.5" customHeight="1" spans="1:27">
      <c r="A264" s="4"/>
      <c r="B264" s="4"/>
      <c r="C264" s="4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ht="19.5" customHeight="1" spans="1:27">
      <c r="A265" s="4"/>
      <c r="B265" s="4"/>
      <c r="C265" s="4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ht="19.5" customHeight="1" spans="1:27">
      <c r="A266" s="4"/>
      <c r="B266" s="4"/>
      <c r="C266" s="4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ht="19.5" customHeight="1" spans="1:27">
      <c r="A267" s="4"/>
      <c r="B267" s="4"/>
      <c r="C267" s="4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ht="19.5" customHeight="1" spans="1:27">
      <c r="A268" s="4"/>
      <c r="B268" s="4"/>
      <c r="C268" s="4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ht="19.5" customHeight="1" spans="1:27">
      <c r="A269" s="4"/>
      <c r="B269" s="4"/>
      <c r="C269" s="4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ht="19.5" customHeight="1" spans="1:27">
      <c r="A270" s="4"/>
      <c r="B270" s="4"/>
      <c r="C270" s="4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ht="19.5" customHeight="1" spans="1:27">
      <c r="A271" s="4"/>
      <c r="B271" s="4"/>
      <c r="C271" s="4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ht="19.5" customHeight="1" spans="1:27">
      <c r="A272" s="4"/>
      <c r="B272" s="4"/>
      <c r="C272" s="4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ht="19.5" customHeight="1" spans="1:27">
      <c r="A273" s="4"/>
      <c r="B273" s="4"/>
      <c r="C273" s="4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ht="19.5" customHeight="1" spans="1:27">
      <c r="A274" s="4"/>
      <c r="B274" s="4"/>
      <c r="C274" s="4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ht="19.5" customHeight="1" spans="1:27">
      <c r="A275" s="4"/>
      <c r="B275" s="4"/>
      <c r="C275" s="4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ht="19.5" customHeight="1" spans="1:27">
      <c r="A276" s="4"/>
      <c r="B276" s="4"/>
      <c r="C276" s="4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ht="19.5" customHeight="1" spans="1:27">
      <c r="A277" s="4"/>
      <c r="B277" s="4"/>
      <c r="C277" s="4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ht="19.5" customHeight="1" spans="1:27">
      <c r="A278" s="4"/>
      <c r="B278" s="4"/>
      <c r="C278" s="4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ht="19.5" customHeight="1" spans="1:27">
      <c r="A279" s="4"/>
      <c r="B279" s="4"/>
      <c r="C279" s="4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ht="19.5" customHeight="1" spans="1:27">
      <c r="A280" s="4"/>
      <c r="B280" s="4"/>
      <c r="C280" s="4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ht="19.5" customHeight="1" spans="1:27">
      <c r="A281" s="4"/>
      <c r="B281" s="4"/>
      <c r="C281" s="4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ht="19.5" customHeight="1" spans="1:27">
      <c r="A282" s="4"/>
      <c r="B282" s="4"/>
      <c r="C282" s="4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ht="19.5" customHeight="1" spans="1:27">
      <c r="A283" s="4"/>
      <c r="B283" s="4"/>
      <c r="C283" s="4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ht="19.5" customHeight="1" spans="1:27">
      <c r="A284" s="4"/>
      <c r="B284" s="4"/>
      <c r="C284" s="4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ht="19.5" customHeight="1" spans="1:27">
      <c r="A285" s="4"/>
      <c r="B285" s="4"/>
      <c r="C285" s="4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ht="19.5" customHeight="1" spans="1:27">
      <c r="A286" s="4"/>
      <c r="B286" s="4"/>
      <c r="C286" s="4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ht="19.5" customHeight="1" spans="1:27">
      <c r="A287" s="4"/>
      <c r="B287" s="4"/>
      <c r="C287" s="4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ht="19.5" customHeight="1" spans="1:27">
      <c r="A288" s="4"/>
      <c r="B288" s="4"/>
      <c r="C288" s="4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ht="19.5" customHeight="1" spans="1:27">
      <c r="A289" s="4"/>
      <c r="B289" s="4"/>
      <c r="C289" s="4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ht="19.5" customHeight="1" spans="1:27">
      <c r="A290" s="4"/>
      <c r="B290" s="4"/>
      <c r="C290" s="4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ht="19.5" customHeight="1" spans="1:27">
      <c r="A291" s="4"/>
      <c r="B291" s="4"/>
      <c r="C291" s="4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ht="19.5" customHeight="1" spans="1:27">
      <c r="A292" s="4"/>
      <c r="B292" s="4"/>
      <c r="C292" s="4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ht="19.5" customHeight="1" spans="1:27">
      <c r="A293" s="4"/>
      <c r="B293" s="4"/>
      <c r="C293" s="4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ht="19.5" customHeight="1" spans="1:27">
      <c r="A294" s="4"/>
      <c r="B294" s="4"/>
      <c r="C294" s="4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ht="19.5" customHeight="1" spans="1:27">
      <c r="A295" s="4"/>
      <c r="B295" s="4"/>
      <c r="C295" s="4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ht="19.5" customHeight="1" spans="1:27">
      <c r="A296" s="4"/>
      <c r="B296" s="4"/>
      <c r="C296" s="4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ht="19.5" customHeight="1" spans="1:27">
      <c r="A297" s="4"/>
      <c r="B297" s="4"/>
      <c r="C297" s="4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ht="19.5" customHeight="1" spans="1:27">
      <c r="A298" s="4"/>
      <c r="B298" s="4"/>
      <c r="C298" s="4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ht="19.5" customHeight="1" spans="1:27">
      <c r="A299" s="4"/>
      <c r="B299" s="4"/>
      <c r="C299" s="4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ht="19.5" customHeight="1" spans="1:27">
      <c r="A300" s="4"/>
      <c r="B300" s="4"/>
      <c r="C300" s="4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ht="19.5" customHeight="1" spans="1:27">
      <c r="A301" s="4"/>
      <c r="B301" s="4"/>
      <c r="C301" s="4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ht="19.5" customHeight="1" spans="1:27">
      <c r="A302" s="4"/>
      <c r="B302" s="4"/>
      <c r="C302" s="4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ht="19.5" customHeight="1" spans="1:27">
      <c r="A303" s="4"/>
      <c r="B303" s="4"/>
      <c r="C303" s="4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ht="19.5" customHeight="1" spans="1:27">
      <c r="A304" s="4"/>
      <c r="B304" s="4"/>
      <c r="C304" s="4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ht="19.5" customHeight="1" spans="1:27">
      <c r="A305" s="4"/>
      <c r="B305" s="4"/>
      <c r="C305" s="4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ht="19.5" customHeight="1" spans="1:27">
      <c r="A306" s="4"/>
      <c r="B306" s="4"/>
      <c r="C306" s="4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ht="19.5" customHeight="1" spans="1:27">
      <c r="A307" s="4"/>
      <c r="B307" s="4"/>
      <c r="C307" s="4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ht="19.5" customHeight="1" spans="1:27">
      <c r="A308" s="4"/>
      <c r="B308" s="4"/>
      <c r="C308" s="4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ht="19.5" customHeight="1" spans="1:27">
      <c r="A309" s="4"/>
      <c r="B309" s="4"/>
      <c r="C309" s="4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ht="19.5" customHeight="1" spans="1:27">
      <c r="A310" s="4"/>
      <c r="B310" s="4"/>
      <c r="C310" s="4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ht="19.5" customHeight="1" spans="1:27">
      <c r="A311" s="4"/>
      <c r="B311" s="4"/>
      <c r="C311" s="4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ht="19.5" customHeight="1" spans="1:27">
      <c r="A312" s="4"/>
      <c r="B312" s="4"/>
      <c r="C312" s="4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ht="19.5" customHeight="1" spans="1:27">
      <c r="A313" s="4"/>
      <c r="B313" s="4"/>
      <c r="C313" s="4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ht="19.5" customHeight="1" spans="1:27">
      <c r="A314" s="4"/>
      <c r="B314" s="4"/>
      <c r="C314" s="4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ht="19.5" customHeight="1" spans="1:27">
      <c r="A315" s="4"/>
      <c r="B315" s="4"/>
      <c r="C315" s="4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ht="19.5" customHeight="1" spans="1:27">
      <c r="A316" s="4"/>
      <c r="B316" s="4"/>
      <c r="C316" s="4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ht="19.5" customHeight="1" spans="1:27">
      <c r="A317" s="4"/>
      <c r="B317" s="4"/>
      <c r="C317" s="4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ht="19.5" customHeight="1" spans="1:27">
      <c r="A318" s="4"/>
      <c r="B318" s="4"/>
      <c r="C318" s="4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ht="19.5" customHeight="1" spans="1:27">
      <c r="A319" s="4"/>
      <c r="B319" s="4"/>
      <c r="C319" s="4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ht="19.5" customHeight="1" spans="1:27">
      <c r="A320" s="4"/>
      <c r="B320" s="4"/>
      <c r="C320" s="4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ht="19.5" customHeight="1" spans="1:27">
      <c r="A321" s="4"/>
      <c r="B321" s="4"/>
      <c r="C321" s="4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ht="19.5" customHeight="1" spans="1:27">
      <c r="A322" s="4"/>
      <c r="B322" s="4"/>
      <c r="C322" s="4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ht="19.5" customHeight="1" spans="1:27">
      <c r="A323" s="4"/>
      <c r="B323" s="4"/>
      <c r="C323" s="4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ht="19.5" customHeight="1" spans="1:27">
      <c r="A324" s="4"/>
      <c r="B324" s="4"/>
      <c r="C324" s="4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ht="19.5" customHeight="1" spans="1:27">
      <c r="A325" s="4"/>
      <c r="B325" s="4"/>
      <c r="C325" s="4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ht="19.5" customHeight="1" spans="1:27">
      <c r="A326" s="4"/>
      <c r="B326" s="4"/>
      <c r="C326" s="4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ht="19.5" customHeight="1" spans="1:27">
      <c r="A327" s="4"/>
      <c r="B327" s="4"/>
      <c r="C327" s="4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ht="19.5" customHeight="1" spans="1:27">
      <c r="A328" s="4"/>
      <c r="B328" s="4"/>
      <c r="C328" s="4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ht="19.5" customHeight="1" spans="1:27">
      <c r="A329" s="4"/>
      <c r="B329" s="4"/>
      <c r="C329" s="4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ht="19.5" customHeight="1" spans="1:27">
      <c r="A330" s="4"/>
      <c r="B330" s="4"/>
      <c r="C330" s="4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ht="19.5" customHeight="1" spans="1:27">
      <c r="A331" s="4"/>
      <c r="B331" s="4"/>
      <c r="C331" s="4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ht="19.5" customHeight="1" spans="1:27">
      <c r="A332" s="4"/>
      <c r="B332" s="4"/>
      <c r="C332" s="4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ht="19.5" customHeight="1" spans="1:27">
      <c r="A333" s="4"/>
      <c r="B333" s="4"/>
      <c r="C333" s="4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ht="19.5" customHeight="1" spans="1:27">
      <c r="A334" s="4"/>
      <c r="B334" s="4"/>
      <c r="C334" s="4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ht="19.5" customHeight="1" spans="1:27">
      <c r="A335" s="4"/>
      <c r="B335" s="4"/>
      <c r="C335" s="4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ht="19.5" customHeight="1" spans="1:27">
      <c r="A336" s="4"/>
      <c r="B336" s="4"/>
      <c r="C336" s="4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ht="19.5" customHeight="1" spans="1:27">
      <c r="A337" s="4"/>
      <c r="B337" s="4"/>
      <c r="C337" s="4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ht="19.5" customHeight="1" spans="1:27">
      <c r="A338" s="4"/>
      <c r="B338" s="4"/>
      <c r="C338" s="4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ht="19.5" customHeight="1" spans="1:27">
      <c r="A339" s="4"/>
      <c r="B339" s="4"/>
      <c r="C339" s="4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ht="19.5" customHeight="1" spans="1:27">
      <c r="A340" s="4"/>
      <c r="B340" s="4"/>
      <c r="C340" s="4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ht="19.5" customHeight="1" spans="1:27">
      <c r="A341" s="4"/>
      <c r="B341" s="4"/>
      <c r="C341" s="4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ht="19.5" customHeight="1" spans="1:27">
      <c r="A342" s="4"/>
      <c r="B342" s="4"/>
      <c r="C342" s="4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ht="19.5" customHeight="1" spans="1:27">
      <c r="A343" s="4"/>
      <c r="B343" s="4"/>
      <c r="C343" s="4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ht="19.5" customHeight="1" spans="1:27">
      <c r="A344" s="4"/>
      <c r="B344" s="4"/>
      <c r="C344" s="4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ht="19.5" customHeight="1" spans="1:27">
      <c r="A345" s="4"/>
      <c r="B345" s="4"/>
      <c r="C345" s="4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ht="19.5" customHeight="1" spans="1:27">
      <c r="A346" s="4"/>
      <c r="B346" s="4"/>
      <c r="C346" s="4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ht="19.5" customHeight="1" spans="1:27">
      <c r="A347" s="4"/>
      <c r="B347" s="4"/>
      <c r="C347" s="4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ht="19.5" customHeight="1" spans="1:27">
      <c r="A348" s="4"/>
      <c r="B348" s="4"/>
      <c r="C348" s="4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ht="19.5" customHeight="1" spans="1:27">
      <c r="A349" s="4"/>
      <c r="B349" s="4"/>
      <c r="C349" s="4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ht="19.5" customHeight="1" spans="1:27">
      <c r="A350" s="4"/>
      <c r="B350" s="4"/>
      <c r="C350" s="4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ht="19.5" customHeight="1" spans="1:27">
      <c r="A351" s="4"/>
      <c r="B351" s="4"/>
      <c r="C351" s="4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ht="19.5" customHeight="1" spans="1:27">
      <c r="A352" s="4"/>
      <c r="B352" s="4"/>
      <c r="C352" s="4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ht="19.5" customHeight="1" spans="1:27">
      <c r="A353" s="4"/>
      <c r="B353" s="4"/>
      <c r="C353" s="4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ht="19.5" customHeight="1" spans="1:27">
      <c r="A354" s="4"/>
      <c r="B354" s="4"/>
      <c r="C354" s="4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ht="19.5" customHeight="1" spans="1:27">
      <c r="A355" s="4"/>
      <c r="B355" s="4"/>
      <c r="C355" s="4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ht="19.5" customHeight="1" spans="1:27">
      <c r="A356" s="4"/>
      <c r="B356" s="4"/>
      <c r="C356" s="4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ht="19.5" customHeight="1" spans="1:27">
      <c r="A357" s="4"/>
      <c r="B357" s="4"/>
      <c r="C357" s="4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ht="19.5" customHeight="1" spans="1:27">
      <c r="A358" s="4"/>
      <c r="B358" s="4"/>
      <c r="C358" s="4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ht="19.5" customHeight="1" spans="1:27">
      <c r="A359" s="4"/>
      <c r="B359" s="4"/>
      <c r="C359" s="4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ht="19.5" customHeight="1" spans="1:27">
      <c r="A360" s="4"/>
      <c r="B360" s="4"/>
      <c r="C360" s="4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ht="19.5" customHeight="1" spans="1:27">
      <c r="A361" s="4"/>
      <c r="B361" s="4"/>
      <c r="C361" s="4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ht="19.5" customHeight="1" spans="1:27">
      <c r="A362" s="4"/>
      <c r="B362" s="4"/>
      <c r="C362" s="4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ht="19.5" customHeight="1" spans="1:27">
      <c r="A363" s="4"/>
      <c r="B363" s="4"/>
      <c r="C363" s="4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ht="19.5" customHeight="1" spans="1:27">
      <c r="A364" s="4"/>
      <c r="B364" s="4"/>
      <c r="C364" s="4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ht="19.5" customHeight="1" spans="1:27">
      <c r="A365" s="4"/>
      <c r="B365" s="4"/>
      <c r="C365" s="4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ht="19.5" customHeight="1" spans="1:27">
      <c r="A366" s="4"/>
      <c r="B366" s="4"/>
      <c r="C366" s="4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ht="19.5" customHeight="1" spans="1:27">
      <c r="A367" s="4"/>
      <c r="B367" s="4"/>
      <c r="C367" s="4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ht="19.5" customHeight="1" spans="1:27">
      <c r="A368" s="4"/>
      <c r="B368" s="4"/>
      <c r="C368" s="4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ht="19.5" customHeight="1" spans="1:27">
      <c r="A369" s="4"/>
      <c r="B369" s="4"/>
      <c r="C369" s="4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ht="19.5" customHeight="1" spans="1:27">
      <c r="A370" s="4"/>
      <c r="B370" s="4"/>
      <c r="C370" s="4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ht="19.5" customHeight="1" spans="1:27">
      <c r="A371" s="4"/>
      <c r="B371" s="4"/>
      <c r="C371" s="4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ht="19.5" customHeight="1" spans="1:27">
      <c r="A372" s="4"/>
      <c r="B372" s="4"/>
      <c r="C372" s="4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ht="19.5" customHeight="1" spans="1:27">
      <c r="A373" s="4"/>
      <c r="B373" s="4"/>
      <c r="C373" s="4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ht="19.5" customHeight="1" spans="1:27">
      <c r="A374" s="4"/>
      <c r="B374" s="4"/>
      <c r="C374" s="4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ht="19.5" customHeight="1" spans="1:27">
      <c r="A375" s="4"/>
      <c r="B375" s="4"/>
      <c r="C375" s="4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ht="19.5" customHeight="1" spans="1:27">
      <c r="A376" s="4"/>
      <c r="B376" s="4"/>
      <c r="C376" s="4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ht="19.5" customHeight="1" spans="1:27">
      <c r="A377" s="4"/>
      <c r="B377" s="4"/>
      <c r="C377" s="4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ht="19.5" customHeight="1" spans="1:27">
      <c r="A378" s="4"/>
      <c r="B378" s="4"/>
      <c r="C378" s="4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ht="19.5" customHeight="1" spans="1:27">
      <c r="A379" s="4"/>
      <c r="B379" s="4"/>
      <c r="C379" s="4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ht="19.5" customHeight="1" spans="1:27">
      <c r="A380" s="4"/>
      <c r="B380" s="4"/>
      <c r="C380" s="4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ht="19.5" customHeight="1" spans="1:27">
      <c r="A381" s="4"/>
      <c r="B381" s="4"/>
      <c r="C381" s="4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ht="19.5" customHeight="1" spans="1:27">
      <c r="A382" s="4"/>
      <c r="B382" s="4"/>
      <c r="C382" s="4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ht="19.5" customHeight="1" spans="1:27">
      <c r="A383" s="4"/>
      <c r="B383" s="4"/>
      <c r="C383" s="4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ht="19.5" customHeight="1" spans="1:27">
      <c r="A384" s="4"/>
      <c r="B384" s="4"/>
      <c r="C384" s="4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ht="19.5" customHeight="1" spans="1:27">
      <c r="A385" s="4"/>
      <c r="B385" s="4"/>
      <c r="C385" s="4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ht="19.5" customHeight="1" spans="1:27">
      <c r="A386" s="4"/>
      <c r="B386" s="4"/>
      <c r="C386" s="4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ht="19.5" customHeight="1" spans="1:27">
      <c r="A387" s="4"/>
      <c r="B387" s="4"/>
      <c r="C387" s="4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ht="19.5" customHeight="1" spans="1:27">
      <c r="A388" s="4"/>
      <c r="B388" s="4"/>
      <c r="C388" s="4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ht="19.5" customHeight="1" spans="1:27">
      <c r="A389" s="4"/>
      <c r="B389" s="4"/>
      <c r="C389" s="4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ht="19.5" customHeight="1" spans="1:27">
      <c r="A390" s="4"/>
      <c r="B390" s="4"/>
      <c r="C390" s="4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ht="19.5" customHeight="1" spans="1:27">
      <c r="A391" s="4"/>
      <c r="B391" s="4"/>
      <c r="C391" s="4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ht="19.5" customHeight="1" spans="1:27">
      <c r="A392" s="4"/>
      <c r="B392" s="4"/>
      <c r="C392" s="4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ht="19.5" customHeight="1" spans="1:27">
      <c r="A393" s="4"/>
      <c r="B393" s="4"/>
      <c r="C393" s="4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ht="19.5" customHeight="1" spans="1:27">
      <c r="A394" s="4"/>
      <c r="B394" s="4"/>
      <c r="C394" s="4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ht="19.5" customHeight="1" spans="1:27">
      <c r="A395" s="4"/>
      <c r="B395" s="4"/>
      <c r="C395" s="4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ht="19.5" customHeight="1" spans="1:27">
      <c r="A396" s="4"/>
      <c r="B396" s="4"/>
      <c r="C396" s="4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ht="19.5" customHeight="1" spans="1:27">
      <c r="A397" s="4"/>
      <c r="B397" s="4"/>
      <c r="C397" s="4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ht="19.5" customHeight="1" spans="1:27">
      <c r="A398" s="4"/>
      <c r="B398" s="4"/>
      <c r="C398" s="4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ht="19.5" customHeight="1" spans="1:27">
      <c r="A399" s="4"/>
      <c r="B399" s="4"/>
      <c r="C399" s="4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ht="19.5" customHeight="1" spans="1:27">
      <c r="A400" s="4"/>
      <c r="B400" s="4"/>
      <c r="C400" s="4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ht="19.5" customHeight="1" spans="1:27">
      <c r="A401" s="4"/>
      <c r="B401" s="4"/>
      <c r="C401" s="4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ht="19.5" customHeight="1" spans="1:27">
      <c r="A402" s="4"/>
      <c r="B402" s="4"/>
      <c r="C402" s="4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ht="19.5" customHeight="1" spans="1:27">
      <c r="A403" s="4"/>
      <c r="B403" s="4"/>
      <c r="C403" s="4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ht="19.5" customHeight="1" spans="1:27">
      <c r="A404" s="4"/>
      <c r="B404" s="4"/>
      <c r="C404" s="4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ht="19.5" customHeight="1" spans="1:27">
      <c r="A405" s="4"/>
      <c r="B405" s="4"/>
      <c r="C405" s="4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ht="19.5" customHeight="1" spans="1:27">
      <c r="A406" s="4"/>
      <c r="B406" s="4"/>
      <c r="C406" s="4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ht="19.5" customHeight="1" spans="1:27">
      <c r="A407" s="4"/>
      <c r="B407" s="4"/>
      <c r="C407" s="4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ht="19.5" customHeight="1" spans="1:27">
      <c r="A408" s="4"/>
      <c r="B408" s="4"/>
      <c r="C408" s="4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ht="19.5" customHeight="1" spans="1:27">
      <c r="A409" s="4"/>
      <c r="B409" s="4"/>
      <c r="C409" s="4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ht="19.5" customHeight="1" spans="1:27">
      <c r="A410" s="4"/>
      <c r="B410" s="4"/>
      <c r="C410" s="4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ht="19.5" customHeight="1" spans="1:27">
      <c r="A411" s="4"/>
      <c r="B411" s="4"/>
      <c r="C411" s="4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ht="19.5" customHeight="1" spans="1:27">
      <c r="A412" s="4"/>
      <c r="B412" s="4"/>
      <c r="C412" s="4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ht="19.5" customHeight="1" spans="1:27">
      <c r="A413" s="4"/>
      <c r="B413" s="4"/>
      <c r="C413" s="4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ht="19.5" customHeight="1" spans="1:27">
      <c r="A414" s="4"/>
      <c r="B414" s="4"/>
      <c r="C414" s="4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ht="19.5" customHeight="1" spans="1:27">
      <c r="A415" s="4"/>
      <c r="B415" s="4"/>
      <c r="C415" s="4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ht="19.5" customHeight="1" spans="1:27">
      <c r="A416" s="4"/>
      <c r="B416" s="4"/>
      <c r="C416" s="4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ht="19.5" customHeight="1" spans="1:27">
      <c r="A417" s="4"/>
      <c r="B417" s="4"/>
      <c r="C417" s="4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ht="19.5" customHeight="1" spans="1:27">
      <c r="A418" s="4"/>
      <c r="B418" s="4"/>
      <c r="C418" s="4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ht="19.5" customHeight="1" spans="1:27">
      <c r="A419" s="4"/>
      <c r="B419" s="4"/>
      <c r="C419" s="4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ht="19.5" customHeight="1" spans="1:27">
      <c r="A420" s="4"/>
      <c r="B420" s="4"/>
      <c r="C420" s="4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ht="19.5" customHeight="1" spans="1:27">
      <c r="A421" s="4"/>
      <c r="B421" s="4"/>
      <c r="C421" s="4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ht="19.5" customHeight="1" spans="1:27">
      <c r="A422" s="4"/>
      <c r="B422" s="4"/>
      <c r="C422" s="4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ht="19.5" customHeight="1" spans="1:27">
      <c r="A423" s="4"/>
      <c r="B423" s="4"/>
      <c r="C423" s="4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ht="19.5" customHeight="1" spans="1:27">
      <c r="A424" s="4"/>
      <c r="B424" s="4"/>
      <c r="C424" s="4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ht="19.5" customHeight="1" spans="1:27">
      <c r="A425" s="4"/>
      <c r="B425" s="4"/>
      <c r="C425" s="4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ht="19.5" customHeight="1" spans="1:27">
      <c r="A426" s="4"/>
      <c r="B426" s="4"/>
      <c r="C426" s="4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ht="19.5" customHeight="1" spans="1:27">
      <c r="A427" s="4"/>
      <c r="B427" s="4"/>
      <c r="C427" s="4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ht="19.5" customHeight="1" spans="1:27">
      <c r="A428" s="4"/>
      <c r="B428" s="4"/>
      <c r="C428" s="4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ht="19.5" customHeight="1" spans="1:27">
      <c r="A429" s="4"/>
      <c r="B429" s="4"/>
      <c r="C429" s="4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ht="19.5" customHeight="1" spans="1:27">
      <c r="A430" s="4"/>
      <c r="B430" s="4"/>
      <c r="C430" s="4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ht="19.5" customHeight="1" spans="1:27">
      <c r="A431" s="4"/>
      <c r="B431" s="4"/>
      <c r="C431" s="4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ht="19.5" customHeight="1" spans="1:27">
      <c r="A432" s="4"/>
      <c r="B432" s="4"/>
      <c r="C432" s="4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ht="19.5" customHeight="1" spans="1:27">
      <c r="A433" s="4"/>
      <c r="B433" s="4"/>
      <c r="C433" s="4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ht="19.5" customHeight="1" spans="1:27">
      <c r="A434" s="4"/>
      <c r="B434" s="4"/>
      <c r="C434" s="4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ht="19.5" customHeight="1" spans="1:27">
      <c r="A435" s="4"/>
      <c r="B435" s="4"/>
      <c r="C435" s="4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ht="19.5" customHeight="1" spans="1:27">
      <c r="A436" s="4"/>
      <c r="B436" s="4"/>
      <c r="C436" s="4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ht="19.5" customHeight="1" spans="1:27">
      <c r="A437" s="4"/>
      <c r="B437" s="4"/>
      <c r="C437" s="4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ht="19.5" customHeight="1" spans="1:27">
      <c r="A438" s="4"/>
      <c r="B438" s="4"/>
      <c r="C438" s="4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ht="19.5" customHeight="1" spans="1:27">
      <c r="A439" s="4"/>
      <c r="B439" s="4"/>
      <c r="C439" s="4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ht="19.5" customHeight="1" spans="1:27">
      <c r="A440" s="4"/>
      <c r="B440" s="4"/>
      <c r="C440" s="4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ht="19.5" customHeight="1" spans="1:27">
      <c r="A441" s="4"/>
      <c r="B441" s="4"/>
      <c r="C441" s="4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ht="19.5" customHeight="1" spans="1:27">
      <c r="A442" s="4"/>
      <c r="B442" s="4"/>
      <c r="C442" s="4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ht="19.5" customHeight="1" spans="1:27">
      <c r="A443" s="4"/>
      <c r="B443" s="4"/>
      <c r="C443" s="4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ht="19.5" customHeight="1" spans="1:27">
      <c r="A444" s="4"/>
      <c r="B444" s="4"/>
      <c r="C444" s="4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ht="19.5" customHeight="1" spans="1:27">
      <c r="A445" s="4"/>
      <c r="B445" s="4"/>
      <c r="C445" s="4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ht="19.5" customHeight="1" spans="1:27">
      <c r="A446" s="4"/>
      <c r="B446" s="4"/>
      <c r="C446" s="4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ht="19.5" customHeight="1" spans="1:27">
      <c r="A447" s="4"/>
      <c r="B447" s="4"/>
      <c r="C447" s="4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ht="19.5" customHeight="1" spans="1:27">
      <c r="A448" s="4"/>
      <c r="B448" s="4"/>
      <c r="C448" s="4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ht="19.5" customHeight="1" spans="1:27">
      <c r="A449" s="4"/>
      <c r="B449" s="4"/>
      <c r="C449" s="4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ht="19.5" customHeight="1" spans="1:27">
      <c r="A450" s="4"/>
      <c r="B450" s="4"/>
      <c r="C450" s="4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ht="19.5" customHeight="1" spans="1:27">
      <c r="A451" s="4"/>
      <c r="B451" s="4"/>
      <c r="C451" s="4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ht="19.5" customHeight="1" spans="1:27">
      <c r="A452" s="4"/>
      <c r="B452" s="4"/>
      <c r="C452" s="4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ht="19.5" customHeight="1" spans="1:27">
      <c r="A453" s="4"/>
      <c r="B453" s="4"/>
      <c r="C453" s="4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ht="19.5" customHeight="1" spans="1:27">
      <c r="A454" s="4"/>
      <c r="B454" s="4"/>
      <c r="C454" s="4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ht="19.5" customHeight="1" spans="1:27">
      <c r="A455" s="4"/>
      <c r="B455" s="4"/>
      <c r="C455" s="4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ht="19.5" customHeight="1" spans="1:27">
      <c r="A456" s="4"/>
      <c r="B456" s="4"/>
      <c r="C456" s="4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ht="19.5" customHeight="1" spans="1:27">
      <c r="A457" s="4"/>
      <c r="B457" s="4"/>
      <c r="C457" s="4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ht="19.5" customHeight="1" spans="1:27">
      <c r="A458" s="4"/>
      <c r="B458" s="4"/>
      <c r="C458" s="4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ht="19.5" customHeight="1" spans="1:27">
      <c r="A459" s="4"/>
      <c r="B459" s="4"/>
      <c r="C459" s="4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ht="19.5" customHeight="1" spans="1:27">
      <c r="A460" s="4"/>
      <c r="B460" s="4"/>
      <c r="C460" s="4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ht="19.5" customHeight="1" spans="1:27">
      <c r="A461" s="4"/>
      <c r="B461" s="4"/>
      <c r="C461" s="4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ht="19.5" customHeight="1" spans="1:27">
      <c r="A462" s="4"/>
      <c r="B462" s="4"/>
      <c r="C462" s="4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ht="19.5" customHeight="1" spans="1:27">
      <c r="A463" s="4"/>
      <c r="B463" s="4"/>
      <c r="C463" s="4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ht="19.5" customHeight="1" spans="1:27">
      <c r="A464" s="4"/>
      <c r="B464" s="4"/>
      <c r="C464" s="4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ht="19.5" customHeight="1" spans="1:27">
      <c r="A465" s="4"/>
      <c r="B465" s="4"/>
      <c r="C465" s="4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ht="19.5" customHeight="1" spans="1:27">
      <c r="A466" s="4"/>
      <c r="B466" s="4"/>
      <c r="C466" s="4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ht="19.5" customHeight="1" spans="1:27">
      <c r="A467" s="4"/>
      <c r="B467" s="4"/>
      <c r="C467" s="4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ht="19.5" customHeight="1" spans="1:27">
      <c r="A468" s="4"/>
      <c r="B468" s="4"/>
      <c r="C468" s="4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ht="19.5" customHeight="1" spans="1:27">
      <c r="A469" s="4"/>
      <c r="B469" s="4"/>
      <c r="C469" s="4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ht="19.5" customHeight="1" spans="1:27">
      <c r="A470" s="4"/>
      <c r="B470" s="4"/>
      <c r="C470" s="4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ht="19.5" customHeight="1" spans="1:27">
      <c r="A471" s="4"/>
      <c r="B471" s="4"/>
      <c r="C471" s="4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ht="19.5" customHeight="1" spans="1:27">
      <c r="A472" s="4"/>
      <c r="B472" s="4"/>
      <c r="C472" s="4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ht="19.5" customHeight="1" spans="1:27">
      <c r="A473" s="4"/>
      <c r="B473" s="4"/>
      <c r="C473" s="4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ht="19.5" customHeight="1" spans="1:27">
      <c r="A474" s="4"/>
      <c r="B474" s="4"/>
      <c r="C474" s="4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ht="19.5" customHeight="1" spans="1:27">
      <c r="A475" s="4"/>
      <c r="B475" s="4"/>
      <c r="C475" s="4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ht="19.5" customHeight="1" spans="1:27">
      <c r="A476" s="4"/>
      <c r="B476" s="4"/>
      <c r="C476" s="4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ht="19.5" customHeight="1" spans="1:27">
      <c r="A477" s="4"/>
      <c r="B477" s="4"/>
      <c r="C477" s="4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ht="19.5" customHeight="1" spans="1:27">
      <c r="A478" s="4"/>
      <c r="B478" s="4"/>
      <c r="C478" s="4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ht="19.5" customHeight="1" spans="1:27">
      <c r="A479" s="4"/>
      <c r="B479" s="4"/>
      <c r="C479" s="4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ht="19.5" customHeight="1" spans="1:27">
      <c r="A480" s="4"/>
      <c r="B480" s="4"/>
      <c r="C480" s="4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ht="19.5" customHeight="1" spans="1:27">
      <c r="A481" s="4"/>
      <c r="B481" s="4"/>
      <c r="C481" s="4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ht="19.5" customHeight="1" spans="1:27">
      <c r="A482" s="4"/>
      <c r="B482" s="4"/>
      <c r="C482" s="4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ht="19.5" customHeight="1" spans="1:27">
      <c r="A483" s="4"/>
      <c r="B483" s="4"/>
      <c r="C483" s="4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ht="19.5" customHeight="1" spans="1:27">
      <c r="A484" s="4"/>
      <c r="B484" s="4"/>
      <c r="C484" s="4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ht="19.5" customHeight="1" spans="1:27">
      <c r="A485" s="4"/>
      <c r="B485" s="4"/>
      <c r="C485" s="4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ht="19.5" customHeight="1" spans="1:27">
      <c r="A486" s="4"/>
      <c r="B486" s="4"/>
      <c r="C486" s="4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ht="19.5" customHeight="1" spans="1:27">
      <c r="A487" s="4"/>
      <c r="B487" s="4"/>
      <c r="C487" s="4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ht="19.5" customHeight="1" spans="1:27">
      <c r="A488" s="4"/>
      <c r="B488" s="4"/>
      <c r="C488" s="4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ht="19.5" customHeight="1" spans="1:27">
      <c r="A489" s="4"/>
      <c r="B489" s="4"/>
      <c r="C489" s="4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ht="19.5" customHeight="1" spans="1:27">
      <c r="A490" s="4"/>
      <c r="B490" s="4"/>
      <c r="C490" s="4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ht="19.5" customHeight="1" spans="1:27">
      <c r="A491" s="4"/>
      <c r="B491" s="4"/>
      <c r="C491" s="4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ht="19.5" customHeight="1" spans="1:27">
      <c r="A492" s="4"/>
      <c r="B492" s="4"/>
      <c r="C492" s="4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ht="19.5" customHeight="1" spans="1:27">
      <c r="A493" s="4"/>
      <c r="B493" s="4"/>
      <c r="C493" s="4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ht="19.5" customHeight="1" spans="1:27">
      <c r="A494" s="4"/>
      <c r="B494" s="4"/>
      <c r="C494" s="4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ht="19.5" customHeight="1" spans="1:27">
      <c r="A495" s="4"/>
      <c r="B495" s="4"/>
      <c r="C495" s="4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ht="19.5" customHeight="1" spans="1:27">
      <c r="A496" s="4"/>
      <c r="B496" s="4"/>
      <c r="C496" s="4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ht="19.5" customHeight="1" spans="1:27">
      <c r="A497" s="4"/>
      <c r="B497" s="4"/>
      <c r="C497" s="4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ht="19.5" customHeight="1" spans="1:27">
      <c r="A498" s="4"/>
      <c r="B498" s="4"/>
      <c r="C498" s="4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ht="19.5" customHeight="1" spans="1:27">
      <c r="A499" s="4"/>
      <c r="B499" s="4"/>
      <c r="C499" s="4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ht="19.5" customHeight="1" spans="1:27">
      <c r="A500" s="4"/>
      <c r="B500" s="4"/>
      <c r="C500" s="4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ht="19.5" customHeight="1" spans="1:27">
      <c r="A501" s="4"/>
      <c r="B501" s="4"/>
      <c r="C501" s="4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ht="19.5" customHeight="1" spans="1:27">
      <c r="A502" s="4"/>
      <c r="B502" s="4"/>
      <c r="C502" s="4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ht="19.5" customHeight="1" spans="1:27">
      <c r="A503" s="4"/>
      <c r="B503" s="4"/>
      <c r="C503" s="4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ht="19.5" customHeight="1" spans="1:27">
      <c r="A504" s="4"/>
      <c r="B504" s="4"/>
      <c r="C504" s="4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ht="19.5" customHeight="1" spans="1:27">
      <c r="A505" s="4"/>
      <c r="B505" s="4"/>
      <c r="C505" s="4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ht="19.5" customHeight="1" spans="1:27">
      <c r="A506" s="4"/>
      <c r="B506" s="4"/>
      <c r="C506" s="4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ht="19.5" customHeight="1" spans="1:27">
      <c r="A507" s="4"/>
      <c r="B507" s="4"/>
      <c r="C507" s="4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ht="19.5" customHeight="1" spans="1:27">
      <c r="A508" s="4"/>
      <c r="B508" s="4"/>
      <c r="C508" s="4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ht="19.5" customHeight="1" spans="1:27">
      <c r="A509" s="4"/>
      <c r="B509" s="4"/>
      <c r="C509" s="4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ht="19.5" customHeight="1" spans="1:27">
      <c r="A510" s="4"/>
      <c r="B510" s="4"/>
      <c r="C510" s="4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ht="19.5" customHeight="1" spans="1:27">
      <c r="A511" s="4"/>
      <c r="B511" s="4"/>
      <c r="C511" s="4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ht="19.5" customHeight="1" spans="1:27">
      <c r="A512" s="4"/>
      <c r="B512" s="4"/>
      <c r="C512" s="4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ht="19.5" customHeight="1" spans="1:27">
      <c r="A513" s="4"/>
      <c r="B513" s="4"/>
      <c r="C513" s="4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ht="19.5" customHeight="1" spans="1:27">
      <c r="A514" s="4"/>
      <c r="B514" s="4"/>
      <c r="C514" s="4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ht="19.5" customHeight="1" spans="1:27">
      <c r="A515" s="4"/>
      <c r="B515" s="4"/>
      <c r="C515" s="4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ht="19.5" customHeight="1" spans="1:27">
      <c r="A516" s="4"/>
      <c r="B516" s="4"/>
      <c r="C516" s="4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ht="19.5" customHeight="1" spans="1:27">
      <c r="A517" s="4"/>
      <c r="B517" s="4"/>
      <c r="C517" s="4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ht="19.5" customHeight="1" spans="1:27">
      <c r="A518" s="4"/>
      <c r="B518" s="4"/>
      <c r="C518" s="4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ht="19.5" customHeight="1" spans="1:27">
      <c r="A519" s="4"/>
      <c r="B519" s="4"/>
      <c r="C519" s="4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ht="19.5" customHeight="1" spans="1:27">
      <c r="A520" s="4"/>
      <c r="B520" s="4"/>
      <c r="C520" s="4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ht="19.5" customHeight="1" spans="1:27">
      <c r="A521" s="4"/>
      <c r="B521" s="4"/>
      <c r="C521" s="4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ht="19.5" customHeight="1" spans="1:27">
      <c r="A522" s="4"/>
      <c r="B522" s="4"/>
      <c r="C522" s="4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ht="19.5" customHeight="1" spans="1:27">
      <c r="A523" s="4"/>
      <c r="B523" s="4"/>
      <c r="C523" s="4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ht="19.5" customHeight="1" spans="1:27">
      <c r="A524" s="4"/>
      <c r="B524" s="4"/>
      <c r="C524" s="4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ht="19.5" customHeight="1" spans="1:27">
      <c r="A525" s="4"/>
      <c r="B525" s="4"/>
      <c r="C525" s="4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ht="19.5" customHeight="1" spans="1:27">
      <c r="A526" s="4"/>
      <c r="B526" s="4"/>
      <c r="C526" s="4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ht="19.5" customHeight="1" spans="1:27">
      <c r="A527" s="4"/>
      <c r="B527" s="4"/>
      <c r="C527" s="4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ht="19.5" customHeight="1" spans="1:27">
      <c r="A528" s="4"/>
      <c r="B528" s="4"/>
      <c r="C528" s="4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ht="19.5" customHeight="1" spans="1:27">
      <c r="A529" s="4"/>
      <c r="B529" s="4"/>
      <c r="C529" s="4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ht="19.5" customHeight="1" spans="1:27">
      <c r="A530" s="4"/>
      <c r="B530" s="4"/>
      <c r="C530" s="4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ht="19.5" customHeight="1" spans="1:27">
      <c r="A531" s="4"/>
      <c r="B531" s="4"/>
      <c r="C531" s="4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ht="19.5" customHeight="1" spans="1:27">
      <c r="A532" s="4"/>
      <c r="B532" s="4"/>
      <c r="C532" s="4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ht="19.5" customHeight="1" spans="1:27">
      <c r="A533" s="4"/>
      <c r="B533" s="4"/>
      <c r="C533" s="4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ht="19.5" customHeight="1" spans="1:27">
      <c r="A534" s="4"/>
      <c r="B534" s="4"/>
      <c r="C534" s="4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ht="19.5" customHeight="1" spans="1:27">
      <c r="A535" s="4"/>
      <c r="B535" s="4"/>
      <c r="C535" s="4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ht="19.5" customHeight="1" spans="1:27">
      <c r="A536" s="4"/>
      <c r="B536" s="4"/>
      <c r="C536" s="4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ht="19.5" customHeight="1" spans="1:27">
      <c r="A537" s="4"/>
      <c r="B537" s="4"/>
      <c r="C537" s="4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ht="19.5" customHeight="1" spans="1:27">
      <c r="A538" s="4"/>
      <c r="B538" s="4"/>
      <c r="C538" s="4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ht="19.5" customHeight="1" spans="1:27">
      <c r="A539" s="4"/>
      <c r="B539" s="4"/>
      <c r="C539" s="4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ht="19.5" customHeight="1" spans="1:27">
      <c r="A540" s="4"/>
      <c r="B540" s="4"/>
      <c r="C540" s="4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ht="19.5" customHeight="1" spans="1:27">
      <c r="A541" s="4"/>
      <c r="B541" s="4"/>
      <c r="C541" s="4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ht="19.5" customHeight="1" spans="1:27">
      <c r="A542" s="4"/>
      <c r="B542" s="4"/>
      <c r="C542" s="4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ht="19.5" customHeight="1" spans="1:27">
      <c r="A543" s="4"/>
      <c r="B543" s="4"/>
      <c r="C543" s="4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ht="19.5" customHeight="1" spans="1:27">
      <c r="A544" s="4"/>
      <c r="B544" s="4"/>
      <c r="C544" s="4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ht="19.5" customHeight="1" spans="1:27">
      <c r="A545" s="4"/>
      <c r="B545" s="4"/>
      <c r="C545" s="4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ht="19.5" customHeight="1" spans="1:27">
      <c r="A546" s="4"/>
      <c r="B546" s="4"/>
      <c r="C546" s="4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ht="19.5" customHeight="1" spans="1:27">
      <c r="A547" s="4"/>
      <c r="B547" s="4"/>
      <c r="C547" s="4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ht="19.5" customHeight="1" spans="1:27">
      <c r="A548" s="4"/>
      <c r="B548" s="4"/>
      <c r="C548" s="4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ht="19.5" customHeight="1" spans="1:27">
      <c r="A549" s="4"/>
      <c r="B549" s="4"/>
      <c r="C549" s="4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ht="19.5" customHeight="1" spans="1:27">
      <c r="A550" s="4"/>
      <c r="B550" s="4"/>
      <c r="C550" s="4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ht="19.5" customHeight="1" spans="1:27">
      <c r="A551" s="4"/>
      <c r="B551" s="4"/>
      <c r="C551" s="4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ht="19.5" customHeight="1" spans="1:27">
      <c r="A552" s="4"/>
      <c r="B552" s="4"/>
      <c r="C552" s="4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ht="19.5" customHeight="1" spans="1:27">
      <c r="A553" s="4"/>
      <c r="B553" s="4"/>
      <c r="C553" s="4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ht="19.5" customHeight="1" spans="1:27">
      <c r="A554" s="4"/>
      <c r="B554" s="4"/>
      <c r="C554" s="4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ht="19.5" customHeight="1" spans="1:27">
      <c r="A555" s="4"/>
      <c r="B555" s="4"/>
      <c r="C555" s="4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ht="19.5" customHeight="1" spans="1:27">
      <c r="A556" s="4"/>
      <c r="B556" s="4"/>
      <c r="C556" s="4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ht="19.5" customHeight="1" spans="1:27">
      <c r="A557" s="4"/>
      <c r="B557" s="4"/>
      <c r="C557" s="4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ht="19.5" customHeight="1" spans="1:27">
      <c r="A558" s="4"/>
      <c r="B558" s="4"/>
      <c r="C558" s="4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ht="19.5" customHeight="1" spans="1:27">
      <c r="A559" s="4"/>
      <c r="B559" s="4"/>
      <c r="C559" s="4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ht="19.5" customHeight="1" spans="1:27">
      <c r="A560" s="4"/>
      <c r="B560" s="4"/>
      <c r="C560" s="4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ht="19.5" customHeight="1" spans="1:27">
      <c r="A561" s="4"/>
      <c r="B561" s="4"/>
      <c r="C561" s="4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ht="19.5" customHeight="1" spans="1:27">
      <c r="A562" s="4"/>
      <c r="B562" s="4"/>
      <c r="C562" s="4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ht="19.5" customHeight="1" spans="1:27">
      <c r="A563" s="4"/>
      <c r="B563" s="4"/>
      <c r="C563" s="4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ht="19.5" customHeight="1" spans="1:27">
      <c r="A564" s="4"/>
      <c r="B564" s="4"/>
      <c r="C564" s="4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ht="19.5" customHeight="1" spans="1:27">
      <c r="A565" s="4"/>
      <c r="B565" s="4"/>
      <c r="C565" s="4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ht="19.5" customHeight="1" spans="1:27">
      <c r="A566" s="4"/>
      <c r="B566" s="4"/>
      <c r="C566" s="4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ht="19.5" customHeight="1" spans="1:27">
      <c r="A567" s="4"/>
      <c r="B567" s="4"/>
      <c r="C567" s="4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ht="19.5" customHeight="1" spans="1:27">
      <c r="A568" s="4"/>
      <c r="B568" s="4"/>
      <c r="C568" s="4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ht="19.5" customHeight="1" spans="1:27">
      <c r="A569" s="4"/>
      <c r="B569" s="4"/>
      <c r="C569" s="4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ht="19.5" customHeight="1" spans="1:27">
      <c r="A570" s="4"/>
      <c r="B570" s="4"/>
      <c r="C570" s="4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ht="19.5" customHeight="1" spans="1:27">
      <c r="A571" s="4"/>
      <c r="B571" s="4"/>
      <c r="C571" s="4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ht="19.5" customHeight="1" spans="1:27">
      <c r="A572" s="4"/>
      <c r="B572" s="4"/>
      <c r="C572" s="4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ht="19.5" customHeight="1" spans="1:27">
      <c r="A573" s="4"/>
      <c r="B573" s="4"/>
      <c r="C573" s="4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ht="19.5" customHeight="1" spans="1:27">
      <c r="A574" s="4"/>
      <c r="B574" s="4"/>
      <c r="C574" s="4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ht="19.5" customHeight="1" spans="1:27">
      <c r="A575" s="4"/>
      <c r="B575" s="4"/>
      <c r="C575" s="4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ht="19.5" customHeight="1" spans="1:27">
      <c r="A576" s="4"/>
      <c r="B576" s="4"/>
      <c r="C576" s="4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ht="19.5" customHeight="1" spans="1:27">
      <c r="A577" s="4"/>
      <c r="B577" s="4"/>
      <c r="C577" s="4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ht="19.5" customHeight="1" spans="1:27">
      <c r="A578" s="4"/>
      <c r="B578" s="4"/>
      <c r="C578" s="4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ht="19.5" customHeight="1" spans="1:27">
      <c r="A579" s="4"/>
      <c r="B579" s="4"/>
      <c r="C579" s="4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ht="19.5" customHeight="1" spans="1:27">
      <c r="A580" s="4"/>
      <c r="B580" s="4"/>
      <c r="C580" s="4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ht="19.5" customHeight="1" spans="1:27">
      <c r="A581" s="4"/>
      <c r="B581" s="4"/>
      <c r="C581" s="4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ht="19.5" customHeight="1" spans="1:27">
      <c r="A582" s="4"/>
      <c r="B582" s="4"/>
      <c r="C582" s="4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ht="19.5" customHeight="1" spans="1:27">
      <c r="A583" s="4"/>
      <c r="B583" s="4"/>
      <c r="C583" s="4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ht="19.5" customHeight="1" spans="1:27">
      <c r="A584" s="4"/>
      <c r="B584" s="4"/>
      <c r="C584" s="4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ht="19.5" customHeight="1" spans="1:27">
      <c r="A585" s="4"/>
      <c r="B585" s="4"/>
      <c r="C585" s="4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ht="19.5" customHeight="1" spans="1:27">
      <c r="A586" s="4"/>
      <c r="B586" s="4"/>
      <c r="C586" s="4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ht="19.5" customHeight="1" spans="1:27">
      <c r="A587" s="4"/>
      <c r="B587" s="4"/>
      <c r="C587" s="4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ht="19.5" customHeight="1" spans="1:27">
      <c r="A588" s="4"/>
      <c r="B588" s="4"/>
      <c r="C588" s="4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ht="19.5" customHeight="1" spans="1:27">
      <c r="A589" s="4"/>
      <c r="B589" s="4"/>
      <c r="C589" s="4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ht="19.5" customHeight="1" spans="1:27">
      <c r="A590" s="4"/>
      <c r="B590" s="4"/>
      <c r="C590" s="4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ht="19.5" customHeight="1" spans="1:27">
      <c r="A591" s="4"/>
      <c r="B591" s="4"/>
      <c r="C591" s="4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ht="19.5" customHeight="1" spans="1:27">
      <c r="A592" s="4"/>
      <c r="B592" s="4"/>
      <c r="C592" s="4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ht="19.5" customHeight="1" spans="1:27">
      <c r="A593" s="4"/>
      <c r="B593" s="4"/>
      <c r="C593" s="4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ht="19.5" customHeight="1" spans="1:27">
      <c r="A594" s="4"/>
      <c r="B594" s="4"/>
      <c r="C594" s="4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ht="19.5" customHeight="1" spans="1:27">
      <c r="A595" s="4"/>
      <c r="B595" s="4"/>
      <c r="C595" s="4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ht="19.5" customHeight="1" spans="1:27">
      <c r="A596" s="4"/>
      <c r="B596" s="4"/>
      <c r="C596" s="4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ht="19.5" customHeight="1" spans="1:27">
      <c r="A597" s="4"/>
      <c r="B597" s="4"/>
      <c r="C597" s="4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ht="19.5" customHeight="1" spans="1:27">
      <c r="A598" s="4"/>
      <c r="B598" s="4"/>
      <c r="C598" s="4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ht="19.5" customHeight="1" spans="1:27">
      <c r="A599" s="4"/>
      <c r="B599" s="4"/>
      <c r="C599" s="4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ht="19.5" customHeight="1" spans="1:27">
      <c r="A600" s="4"/>
      <c r="B600" s="4"/>
      <c r="C600" s="4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ht="19.5" customHeight="1" spans="1:27">
      <c r="A601" s="4"/>
      <c r="B601" s="4"/>
      <c r="C601" s="4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ht="19.5" customHeight="1" spans="1:27">
      <c r="A602" s="4"/>
      <c r="B602" s="4"/>
      <c r="C602" s="4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ht="19.5" customHeight="1" spans="1:27">
      <c r="A603" s="4"/>
      <c r="B603" s="4"/>
      <c r="C603" s="4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ht="19.5" customHeight="1" spans="1:27">
      <c r="A604" s="4"/>
      <c r="B604" s="4"/>
      <c r="C604" s="4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ht="19.5" customHeight="1" spans="1:27">
      <c r="A605" s="4"/>
      <c r="B605" s="4"/>
      <c r="C605" s="4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ht="19.5" customHeight="1" spans="1:27">
      <c r="A606" s="4"/>
      <c r="B606" s="4"/>
      <c r="C606" s="4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ht="19.5" customHeight="1" spans="1:27">
      <c r="A607" s="4"/>
      <c r="B607" s="4"/>
      <c r="C607" s="4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ht="19.5" customHeight="1" spans="1:27">
      <c r="A608" s="4"/>
      <c r="B608" s="4"/>
      <c r="C608" s="4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ht="19.5" customHeight="1" spans="1:27">
      <c r="A609" s="4"/>
      <c r="B609" s="4"/>
      <c r="C609" s="4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ht="19.5" customHeight="1" spans="1:27">
      <c r="A610" s="4"/>
      <c r="B610" s="4"/>
      <c r="C610" s="4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ht="19.5" customHeight="1" spans="1:27">
      <c r="A611" s="4"/>
      <c r="B611" s="4"/>
      <c r="C611" s="4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ht="19.5" customHeight="1" spans="1:27">
      <c r="A612" s="4"/>
      <c r="B612" s="4"/>
      <c r="C612" s="4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ht="19.5" customHeight="1" spans="1:27">
      <c r="A613" s="4"/>
      <c r="B613" s="4"/>
      <c r="C613" s="4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ht="19.5" customHeight="1" spans="1:27">
      <c r="A614" s="4"/>
      <c r="B614" s="4"/>
      <c r="C614" s="4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ht="19.5" customHeight="1" spans="1:27">
      <c r="A615" s="4"/>
      <c r="B615" s="4"/>
      <c r="C615" s="4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ht="19.5" customHeight="1" spans="1:27">
      <c r="A616" s="4"/>
      <c r="B616" s="4"/>
      <c r="C616" s="4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ht="19.5" customHeight="1" spans="1:27">
      <c r="A617" s="4"/>
      <c r="B617" s="4"/>
      <c r="C617" s="4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ht="19.5" customHeight="1" spans="1:27">
      <c r="A618" s="4"/>
      <c r="B618" s="4"/>
      <c r="C618" s="4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ht="19.5" customHeight="1" spans="1:27">
      <c r="A619" s="4"/>
      <c r="B619" s="4"/>
      <c r="C619" s="4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ht="19.5" customHeight="1" spans="1:27">
      <c r="A620" s="4"/>
      <c r="B620" s="4"/>
      <c r="C620" s="4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ht="19.5" customHeight="1" spans="1:27">
      <c r="A621" s="4"/>
      <c r="B621" s="4"/>
      <c r="C621" s="4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ht="19.5" customHeight="1" spans="1:27">
      <c r="A622" s="4"/>
      <c r="B622" s="4"/>
      <c r="C622" s="4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ht="19.5" customHeight="1" spans="1:27">
      <c r="A623" s="4"/>
      <c r="B623" s="4"/>
      <c r="C623" s="4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ht="19.5" customHeight="1" spans="1:27">
      <c r="A624" s="4"/>
      <c r="B624" s="4"/>
      <c r="C624" s="4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ht="19.5" customHeight="1" spans="1:27">
      <c r="A625" s="4"/>
      <c r="B625" s="4"/>
      <c r="C625" s="4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ht="19.5" customHeight="1" spans="1:27">
      <c r="A626" s="4"/>
      <c r="B626" s="4"/>
      <c r="C626" s="4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ht="19.5" customHeight="1" spans="1:27">
      <c r="A627" s="4"/>
      <c r="B627" s="4"/>
      <c r="C627" s="4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ht="19.5" customHeight="1" spans="1:27">
      <c r="A628" s="4"/>
      <c r="B628" s="4"/>
      <c r="C628" s="4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ht="19.5" customHeight="1" spans="1:27">
      <c r="A629" s="4"/>
      <c r="B629" s="4"/>
      <c r="C629" s="4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ht="19.5" customHeight="1" spans="1:27">
      <c r="A630" s="4"/>
      <c r="B630" s="4"/>
      <c r="C630" s="4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ht="19.5" customHeight="1" spans="1:27">
      <c r="A631" s="4"/>
      <c r="B631" s="4"/>
      <c r="C631" s="4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ht="19.5" customHeight="1" spans="1:27">
      <c r="A632" s="4"/>
      <c r="B632" s="4"/>
      <c r="C632" s="4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ht="19.5" customHeight="1" spans="1:27">
      <c r="A633" s="4"/>
      <c r="B633" s="4"/>
      <c r="C633" s="4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ht="19.5" customHeight="1" spans="1:27">
      <c r="A634" s="4"/>
      <c r="B634" s="4"/>
      <c r="C634" s="4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ht="19.5" customHeight="1" spans="1:27">
      <c r="A635" s="4"/>
      <c r="B635" s="4"/>
      <c r="C635" s="4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ht="19.5" customHeight="1" spans="1:27">
      <c r="A636" s="4"/>
      <c r="B636" s="4"/>
      <c r="C636" s="4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ht="19.5" customHeight="1" spans="1:27">
      <c r="A637" s="4"/>
      <c r="B637" s="4"/>
      <c r="C637" s="4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ht="19.5" customHeight="1" spans="1:27">
      <c r="A638" s="4"/>
      <c r="B638" s="4"/>
      <c r="C638" s="4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ht="19.5" customHeight="1" spans="1:27">
      <c r="A639" s="4"/>
      <c r="B639" s="4"/>
      <c r="C639" s="4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ht="19.5" customHeight="1" spans="1:27">
      <c r="A640" s="4"/>
      <c r="B640" s="4"/>
      <c r="C640" s="4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ht="19.5" customHeight="1" spans="1:27">
      <c r="A641" s="4"/>
      <c r="B641" s="4"/>
      <c r="C641" s="4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ht="19.5" customHeight="1" spans="1:27">
      <c r="A642" s="4"/>
      <c r="B642" s="4"/>
      <c r="C642" s="4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ht="19.5" customHeight="1" spans="1:27">
      <c r="A643" s="4"/>
      <c r="B643" s="4"/>
      <c r="C643" s="4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ht="19.5" customHeight="1" spans="1:27">
      <c r="A644" s="4"/>
      <c r="B644" s="4"/>
      <c r="C644" s="4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ht="19.5" customHeight="1" spans="1:27">
      <c r="A645" s="4"/>
      <c r="B645" s="4"/>
      <c r="C645" s="4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ht="19.5" customHeight="1" spans="1:27">
      <c r="A646" s="4"/>
      <c r="B646" s="4"/>
      <c r="C646" s="4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ht="19.5" customHeight="1" spans="1:27">
      <c r="A647" s="4"/>
      <c r="B647" s="4"/>
      <c r="C647" s="4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ht="19.5" customHeight="1" spans="1:27">
      <c r="A648" s="4"/>
      <c r="B648" s="4"/>
      <c r="C648" s="4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ht="19.5" customHeight="1" spans="1:27">
      <c r="A649" s="4"/>
      <c r="B649" s="4"/>
      <c r="C649" s="4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ht="19.5" customHeight="1" spans="1:27">
      <c r="A650" s="4"/>
      <c r="B650" s="4"/>
      <c r="C650" s="4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ht="19.5" customHeight="1" spans="1:27">
      <c r="A651" s="4"/>
      <c r="B651" s="4"/>
      <c r="C651" s="4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ht="19.5" customHeight="1" spans="1:27">
      <c r="A652" s="4"/>
      <c r="B652" s="4"/>
      <c r="C652" s="4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ht="19.5" customHeight="1" spans="1:27">
      <c r="A653" s="4"/>
      <c r="B653" s="4"/>
      <c r="C653" s="4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ht="19.5" customHeight="1" spans="1:27">
      <c r="A654" s="4"/>
      <c r="B654" s="4"/>
      <c r="C654" s="4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ht="19.5" customHeight="1" spans="1:27">
      <c r="A655" s="4"/>
      <c r="B655" s="4"/>
      <c r="C655" s="4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ht="19.5" customHeight="1" spans="1:27">
      <c r="A656" s="4"/>
      <c r="B656" s="4"/>
      <c r="C656" s="4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ht="19.5" customHeight="1" spans="1:27">
      <c r="A657" s="4"/>
      <c r="B657" s="4"/>
      <c r="C657" s="4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ht="19.5" customHeight="1" spans="1:27">
      <c r="A658" s="4"/>
      <c r="B658" s="4"/>
      <c r="C658" s="4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ht="19.5" customHeight="1" spans="1:27">
      <c r="A659" s="4"/>
      <c r="B659" s="4"/>
      <c r="C659" s="4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ht="19.5" customHeight="1" spans="1:27">
      <c r="A660" s="4"/>
      <c r="B660" s="4"/>
      <c r="C660" s="4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ht="19.5" customHeight="1" spans="1:27">
      <c r="A661" s="4"/>
      <c r="B661" s="4"/>
      <c r="C661" s="4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ht="19.5" customHeight="1" spans="1:27">
      <c r="A662" s="4"/>
      <c r="B662" s="4"/>
      <c r="C662" s="4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ht="19.5" customHeight="1" spans="1:27">
      <c r="A663" s="4"/>
      <c r="B663" s="4"/>
      <c r="C663" s="4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ht="19.5" customHeight="1" spans="1:27">
      <c r="A664" s="4"/>
      <c r="B664" s="4"/>
      <c r="C664" s="4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ht="19.5" customHeight="1" spans="1:27">
      <c r="A665" s="4"/>
      <c r="B665" s="4"/>
      <c r="C665" s="4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ht="19.5" customHeight="1" spans="1:27">
      <c r="A666" s="4"/>
      <c r="B666" s="4"/>
      <c r="C666" s="4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ht="19.5" customHeight="1" spans="1:27">
      <c r="A667" s="4"/>
      <c r="B667" s="4"/>
      <c r="C667" s="4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ht="19.5" customHeight="1" spans="1:27">
      <c r="A668" s="4"/>
      <c r="B668" s="4"/>
      <c r="C668" s="4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ht="19.5" customHeight="1" spans="1:27">
      <c r="A669" s="4"/>
      <c r="B669" s="4"/>
      <c r="C669" s="4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ht="19.5" customHeight="1" spans="1:27">
      <c r="A670" s="4"/>
      <c r="B670" s="4"/>
      <c r="C670" s="4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ht="19.5" customHeight="1" spans="1:27">
      <c r="A671" s="4"/>
      <c r="B671" s="4"/>
      <c r="C671" s="4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ht="19.5" customHeight="1" spans="1:27">
      <c r="A672" s="4"/>
      <c r="B672" s="4"/>
      <c r="C672" s="4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ht="19.5" customHeight="1" spans="1:27">
      <c r="A673" s="4"/>
      <c r="B673" s="4"/>
      <c r="C673" s="4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ht="19.5" customHeight="1" spans="1:27">
      <c r="A674" s="4"/>
      <c r="B674" s="4"/>
      <c r="C674" s="4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ht="19.5" customHeight="1" spans="1:27">
      <c r="A675" s="4"/>
      <c r="B675" s="4"/>
      <c r="C675" s="4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ht="19.5" customHeight="1" spans="1:27">
      <c r="A676" s="4"/>
      <c r="B676" s="4"/>
      <c r="C676" s="4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ht="19.5" customHeight="1" spans="1:27">
      <c r="A677" s="4"/>
      <c r="B677" s="4"/>
      <c r="C677" s="4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ht="19.5" customHeight="1" spans="1:27">
      <c r="A678" s="4"/>
      <c r="B678" s="4"/>
      <c r="C678" s="4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ht="19.5" customHeight="1" spans="1:27">
      <c r="A679" s="4"/>
      <c r="B679" s="4"/>
      <c r="C679" s="4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ht="19.5" customHeight="1" spans="1:27">
      <c r="A680" s="4"/>
      <c r="B680" s="4"/>
      <c r="C680" s="4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ht="19.5" customHeight="1" spans="1:27">
      <c r="A681" s="4"/>
      <c r="B681" s="4"/>
      <c r="C681" s="4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ht="19.5" customHeight="1" spans="1:27">
      <c r="A682" s="4"/>
      <c r="B682" s="4"/>
      <c r="C682" s="4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ht="19.5" customHeight="1" spans="1:27">
      <c r="A683" s="4"/>
      <c r="B683" s="4"/>
      <c r="C683" s="4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ht="19.5" customHeight="1" spans="1:27">
      <c r="A684" s="4"/>
      <c r="B684" s="4"/>
      <c r="C684" s="4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ht="19.5" customHeight="1" spans="1:27">
      <c r="A685" s="4"/>
      <c r="B685" s="4"/>
      <c r="C685" s="4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ht="19.5" customHeight="1" spans="1:27">
      <c r="A686" s="4"/>
      <c r="B686" s="4"/>
      <c r="C686" s="4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ht="19.5" customHeight="1" spans="1:27">
      <c r="A687" s="4"/>
      <c r="B687" s="4"/>
      <c r="C687" s="4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ht="19.5" customHeight="1" spans="1:27">
      <c r="A688" s="4"/>
      <c r="B688" s="4"/>
      <c r="C688" s="4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ht="19.5" customHeight="1" spans="1:27">
      <c r="A689" s="4"/>
      <c r="B689" s="4"/>
      <c r="C689" s="4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ht="19.5" customHeight="1" spans="1:27">
      <c r="A690" s="4"/>
      <c r="B690" s="4"/>
      <c r="C690" s="4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ht="19.5" customHeight="1" spans="1:27">
      <c r="A691" s="4"/>
      <c r="B691" s="4"/>
      <c r="C691" s="4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ht="19.5" customHeight="1" spans="1:27">
      <c r="A692" s="4"/>
      <c r="B692" s="4"/>
      <c r="C692" s="4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ht="19.5" customHeight="1" spans="1:27">
      <c r="A693" s="4"/>
      <c r="B693" s="4"/>
      <c r="C693" s="4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ht="19.5" customHeight="1" spans="1:27">
      <c r="A694" s="4"/>
      <c r="B694" s="4"/>
      <c r="C694" s="4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ht="19.5" customHeight="1" spans="1:27">
      <c r="A695" s="4"/>
      <c r="B695" s="4"/>
      <c r="C695" s="4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ht="19.5" customHeight="1" spans="1:27">
      <c r="A696" s="4"/>
      <c r="B696" s="4"/>
      <c r="C696" s="4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ht="19.5" customHeight="1" spans="1:27">
      <c r="A697" s="4"/>
      <c r="B697" s="4"/>
      <c r="C697" s="4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ht="19.5" customHeight="1" spans="1:27">
      <c r="A698" s="4"/>
      <c r="B698" s="4"/>
      <c r="C698" s="4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ht="19.5" customHeight="1" spans="1:27">
      <c r="A699" s="4"/>
      <c r="B699" s="4"/>
      <c r="C699" s="4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ht="19.5" customHeight="1" spans="1:27">
      <c r="A700" s="4"/>
      <c r="B700" s="4"/>
      <c r="C700" s="4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ht="19.5" customHeight="1" spans="1:27">
      <c r="A701" s="4"/>
      <c r="B701" s="4"/>
      <c r="C701" s="4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ht="19.5" customHeight="1" spans="1:27">
      <c r="A702" s="4"/>
      <c r="B702" s="4"/>
      <c r="C702" s="4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ht="19.5" customHeight="1" spans="1:27">
      <c r="A703" s="4"/>
      <c r="B703" s="4"/>
      <c r="C703" s="4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ht="19.5" customHeight="1" spans="1:27">
      <c r="A704" s="4"/>
      <c r="B704" s="4"/>
      <c r="C704" s="4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ht="19.5" customHeight="1" spans="1:27">
      <c r="A705" s="4"/>
      <c r="B705" s="4"/>
      <c r="C705" s="4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ht="19.5" customHeight="1" spans="1:27">
      <c r="A706" s="4"/>
      <c r="B706" s="4"/>
      <c r="C706" s="4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ht="19.5" customHeight="1" spans="1:27">
      <c r="A707" s="4"/>
      <c r="B707" s="4"/>
      <c r="C707" s="4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ht="19.5" customHeight="1" spans="1:27">
      <c r="A708" s="4"/>
      <c r="B708" s="4"/>
      <c r="C708" s="4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ht="19.5" customHeight="1" spans="1:27">
      <c r="A709" s="4"/>
      <c r="B709" s="4"/>
      <c r="C709" s="4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ht="19.5" customHeight="1" spans="1:27">
      <c r="A710" s="4"/>
      <c r="B710" s="4"/>
      <c r="C710" s="4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ht="19.5" customHeight="1" spans="1:27">
      <c r="A711" s="4"/>
      <c r="B711" s="4"/>
      <c r="C711" s="4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ht="19.5" customHeight="1" spans="1:27">
      <c r="A712" s="4"/>
      <c r="B712" s="4"/>
      <c r="C712" s="4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ht="19.5" customHeight="1" spans="1:27">
      <c r="A713" s="4"/>
      <c r="B713" s="4"/>
      <c r="C713" s="4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ht="19.5" customHeight="1" spans="1:27">
      <c r="A714" s="4"/>
      <c r="B714" s="4"/>
      <c r="C714" s="4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ht="19.5" customHeight="1" spans="1:27">
      <c r="A715" s="4"/>
      <c r="B715" s="4"/>
      <c r="C715" s="4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ht="19.5" customHeight="1" spans="1:27">
      <c r="A716" s="4"/>
      <c r="B716" s="4"/>
      <c r="C716" s="4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ht="19.5" customHeight="1" spans="1:27">
      <c r="A717" s="4"/>
      <c r="B717" s="4"/>
      <c r="C717" s="4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ht="19.5" customHeight="1" spans="1:27">
      <c r="A718" s="4"/>
      <c r="B718" s="4"/>
      <c r="C718" s="4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ht="19.5" customHeight="1" spans="1:27">
      <c r="A719" s="4"/>
      <c r="B719" s="4"/>
      <c r="C719" s="4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ht="19.5" customHeight="1" spans="1:27">
      <c r="A720" s="4"/>
      <c r="B720" s="4"/>
      <c r="C720" s="4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ht="19.5" customHeight="1" spans="1:27">
      <c r="A721" s="4"/>
      <c r="B721" s="4"/>
      <c r="C721" s="4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ht="19.5" customHeight="1" spans="1:27">
      <c r="A722" s="4"/>
      <c r="B722" s="4"/>
      <c r="C722" s="4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ht="19.5" customHeight="1" spans="1:27">
      <c r="A723" s="4"/>
      <c r="B723" s="4"/>
      <c r="C723" s="4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ht="19.5" customHeight="1" spans="1:27">
      <c r="A724" s="4"/>
      <c r="B724" s="4"/>
      <c r="C724" s="4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ht="19.5" customHeight="1" spans="1:27">
      <c r="A725" s="4"/>
      <c r="B725" s="4"/>
      <c r="C725" s="4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ht="19.5" customHeight="1" spans="1:27">
      <c r="A726" s="4"/>
      <c r="B726" s="4"/>
      <c r="C726" s="4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ht="19.5" customHeight="1" spans="1:27">
      <c r="A727" s="4"/>
      <c r="B727" s="4"/>
      <c r="C727" s="4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ht="19.5" customHeight="1" spans="1:27">
      <c r="A728" s="4"/>
      <c r="B728" s="4"/>
      <c r="C728" s="4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ht="19.5" customHeight="1" spans="1:27">
      <c r="A729" s="4"/>
      <c r="B729" s="4"/>
      <c r="C729" s="4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ht="19.5" customHeight="1" spans="1:27">
      <c r="A730" s="4"/>
      <c r="B730" s="4"/>
      <c r="C730" s="4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ht="19.5" customHeight="1" spans="1:27">
      <c r="A731" s="4"/>
      <c r="B731" s="4"/>
      <c r="C731" s="4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ht="19.5" customHeight="1" spans="1:27">
      <c r="A732" s="4"/>
      <c r="B732" s="4"/>
      <c r="C732" s="4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ht="19.5" customHeight="1" spans="1:27">
      <c r="A733" s="4"/>
      <c r="B733" s="4"/>
      <c r="C733" s="4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ht="19.5" customHeight="1" spans="1:27">
      <c r="A734" s="4"/>
      <c r="B734" s="4"/>
      <c r="C734" s="4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ht="19.5" customHeight="1" spans="1:27">
      <c r="A735" s="4"/>
      <c r="B735" s="4"/>
      <c r="C735" s="4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ht="19.5" customHeight="1" spans="1:27">
      <c r="A736" s="4"/>
      <c r="B736" s="4"/>
      <c r="C736" s="4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ht="19.5" customHeight="1" spans="1:27">
      <c r="A737" s="4"/>
      <c r="B737" s="4"/>
      <c r="C737" s="4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ht="19.5" customHeight="1" spans="1:27">
      <c r="A738" s="4"/>
      <c r="B738" s="4"/>
      <c r="C738" s="4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ht="19.5" customHeight="1" spans="1:27">
      <c r="A739" s="4"/>
      <c r="B739" s="4"/>
      <c r="C739" s="4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ht="19.5" customHeight="1" spans="1:27">
      <c r="A740" s="4"/>
      <c r="B740" s="4"/>
      <c r="C740" s="4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ht="19.5" customHeight="1" spans="1:27">
      <c r="A741" s="4"/>
      <c r="B741" s="4"/>
      <c r="C741" s="4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ht="19.5" customHeight="1" spans="1:27">
      <c r="A742" s="4"/>
      <c r="B742" s="4"/>
      <c r="C742" s="4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ht="19.5" customHeight="1" spans="1:27">
      <c r="A743" s="4"/>
      <c r="B743" s="4"/>
      <c r="C743" s="4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ht="19.5" customHeight="1" spans="1:27">
      <c r="A744" s="4"/>
      <c r="B744" s="4"/>
      <c r="C744" s="4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ht="19.5" customHeight="1" spans="1:27">
      <c r="A745" s="4"/>
      <c r="B745" s="4"/>
      <c r="C745" s="4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ht="19.5" customHeight="1" spans="1:27">
      <c r="A746" s="4"/>
      <c r="B746" s="4"/>
      <c r="C746" s="4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ht="19.5" customHeight="1" spans="1:27">
      <c r="A747" s="4"/>
      <c r="B747" s="4"/>
      <c r="C747" s="4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ht="19.5" customHeight="1" spans="1:27">
      <c r="A748" s="4"/>
      <c r="B748" s="4"/>
      <c r="C748" s="4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ht="19.5" customHeight="1" spans="1:27">
      <c r="A749" s="4"/>
      <c r="B749" s="4"/>
      <c r="C749" s="4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ht="19.5" customHeight="1" spans="1:27">
      <c r="A750" s="4"/>
      <c r="B750" s="4"/>
      <c r="C750" s="4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ht="19.5" customHeight="1" spans="1:27">
      <c r="A751" s="4"/>
      <c r="B751" s="4"/>
      <c r="C751" s="4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ht="19.5" customHeight="1" spans="1:27">
      <c r="A752" s="4"/>
      <c r="B752" s="4"/>
      <c r="C752" s="4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ht="19.5" customHeight="1" spans="1:27">
      <c r="A753" s="4"/>
      <c r="B753" s="4"/>
      <c r="C753" s="4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ht="19.5" customHeight="1" spans="1:27">
      <c r="A754" s="4"/>
      <c r="B754" s="4"/>
      <c r="C754" s="4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ht="19.5" customHeight="1" spans="1:27">
      <c r="A755" s="4"/>
      <c r="B755" s="4"/>
      <c r="C755" s="4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ht="19.5" customHeight="1" spans="1:27">
      <c r="A756" s="4"/>
      <c r="B756" s="4"/>
      <c r="C756" s="4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ht="19.5" customHeight="1" spans="1:27">
      <c r="A757" s="4"/>
      <c r="B757" s="4"/>
      <c r="C757" s="4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ht="19.5" customHeight="1" spans="1:27">
      <c r="A758" s="4"/>
      <c r="B758" s="4"/>
      <c r="C758" s="4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ht="19.5" customHeight="1" spans="1:27">
      <c r="A759" s="4"/>
      <c r="B759" s="4"/>
      <c r="C759" s="4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ht="19.5" customHeight="1" spans="1:27">
      <c r="A760" s="4"/>
      <c r="B760" s="4"/>
      <c r="C760" s="4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ht="19.5" customHeight="1" spans="1:27">
      <c r="A761" s="4"/>
      <c r="B761" s="4"/>
      <c r="C761" s="4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ht="19.5" customHeight="1" spans="1:27">
      <c r="A762" s="4"/>
      <c r="B762" s="4"/>
      <c r="C762" s="4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ht="19.5" customHeight="1" spans="1:27">
      <c r="A763" s="4"/>
      <c r="B763" s="4"/>
      <c r="C763" s="4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ht="19.5" customHeight="1" spans="1:27">
      <c r="A764" s="4"/>
      <c r="B764" s="4"/>
      <c r="C764" s="4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ht="19.5" customHeight="1" spans="1:27">
      <c r="A765" s="4"/>
      <c r="B765" s="4"/>
      <c r="C765" s="4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ht="19.5" customHeight="1" spans="1:27">
      <c r="A766" s="4"/>
      <c r="B766" s="4"/>
      <c r="C766" s="4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ht="19.5" customHeight="1" spans="1:27">
      <c r="A767" s="4"/>
      <c r="B767" s="4"/>
      <c r="C767" s="4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ht="19.5" customHeight="1" spans="1:27">
      <c r="A768" s="4"/>
      <c r="B768" s="4"/>
      <c r="C768" s="4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ht="19.5" customHeight="1" spans="1:27">
      <c r="A769" s="4"/>
      <c r="B769" s="4"/>
      <c r="C769" s="4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ht="19.5" customHeight="1" spans="1:27">
      <c r="A770" s="4"/>
      <c r="B770" s="4"/>
      <c r="C770" s="4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ht="19.5" customHeight="1" spans="1:27">
      <c r="A771" s="4"/>
      <c r="B771" s="4"/>
      <c r="C771" s="4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ht="19.5" customHeight="1" spans="1:27">
      <c r="A772" s="4"/>
      <c r="B772" s="4"/>
      <c r="C772" s="4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ht="19.5" customHeight="1" spans="1:27">
      <c r="A773" s="4"/>
      <c r="B773" s="4"/>
      <c r="C773" s="4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ht="19.5" customHeight="1" spans="1:27">
      <c r="A774" s="4"/>
      <c r="B774" s="4"/>
      <c r="C774" s="4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ht="19.5" customHeight="1" spans="1:27">
      <c r="A775" s="4"/>
      <c r="B775" s="4"/>
      <c r="C775" s="4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ht="19.5" customHeight="1" spans="1:27">
      <c r="A776" s="4"/>
      <c r="B776" s="4"/>
      <c r="C776" s="4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ht="19.5" customHeight="1" spans="1:27">
      <c r="A777" s="4"/>
      <c r="B777" s="4"/>
      <c r="C777" s="4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ht="19.5" customHeight="1" spans="1:27">
      <c r="A778" s="4"/>
      <c r="B778" s="4"/>
      <c r="C778" s="4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ht="19.5" customHeight="1" spans="1:27">
      <c r="A779" s="4"/>
      <c r="B779" s="4"/>
      <c r="C779" s="4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ht="19.5" customHeight="1" spans="1:27">
      <c r="A780" s="4"/>
      <c r="B780" s="4"/>
      <c r="C780" s="4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ht="19.5" customHeight="1" spans="1:27">
      <c r="A781" s="4"/>
      <c r="B781" s="4"/>
      <c r="C781" s="4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ht="19.5" customHeight="1" spans="1:27">
      <c r="A782" s="4"/>
      <c r="B782" s="4"/>
      <c r="C782" s="4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ht="19.5" customHeight="1" spans="1:27">
      <c r="A783" s="4"/>
      <c r="B783" s="4"/>
      <c r="C783" s="4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ht="19.5" customHeight="1" spans="1:27">
      <c r="A784" s="4"/>
      <c r="B784" s="4"/>
      <c r="C784" s="4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ht="19.5" customHeight="1" spans="1:27">
      <c r="A785" s="4"/>
      <c r="B785" s="4"/>
      <c r="C785" s="4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ht="19.5" customHeight="1" spans="1:27">
      <c r="A786" s="4"/>
      <c r="B786" s="4"/>
      <c r="C786" s="4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ht="19.5" customHeight="1" spans="1:27">
      <c r="A787" s="4"/>
      <c r="B787" s="4"/>
      <c r="C787" s="4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ht="19.5" customHeight="1" spans="1:27">
      <c r="A788" s="4"/>
      <c r="B788" s="4"/>
      <c r="C788" s="4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ht="19.5" customHeight="1" spans="1:27">
      <c r="A789" s="4"/>
      <c r="B789" s="4"/>
      <c r="C789" s="4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ht="19.5" customHeight="1" spans="1:27">
      <c r="A790" s="4"/>
      <c r="B790" s="4"/>
      <c r="C790" s="4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ht="19.5" customHeight="1" spans="1:27">
      <c r="A791" s="4"/>
      <c r="B791" s="4"/>
      <c r="C791" s="4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ht="19.5" customHeight="1" spans="1:27">
      <c r="A792" s="4"/>
      <c r="B792" s="4"/>
      <c r="C792" s="4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ht="19.5" customHeight="1" spans="1:27">
      <c r="A793" s="4"/>
      <c r="B793" s="4"/>
      <c r="C793" s="4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ht="19.5" customHeight="1" spans="1:27">
      <c r="A794" s="4"/>
      <c r="B794" s="4"/>
      <c r="C794" s="4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ht="19.5" customHeight="1" spans="1:27">
      <c r="A795" s="4"/>
      <c r="B795" s="4"/>
      <c r="C795" s="4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ht="19.5" customHeight="1" spans="1:27">
      <c r="A796" s="4"/>
      <c r="B796" s="4"/>
      <c r="C796" s="4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ht="19.5" customHeight="1" spans="1:27">
      <c r="A797" s="4"/>
      <c r="B797" s="4"/>
      <c r="C797" s="4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ht="19.5" customHeight="1" spans="1:27">
      <c r="A798" s="4"/>
      <c r="B798" s="4"/>
      <c r="C798" s="4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ht="19.5" customHeight="1" spans="1:27">
      <c r="A799" s="4"/>
      <c r="B799" s="4"/>
      <c r="C799" s="4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ht="19.5" customHeight="1" spans="1:27">
      <c r="A800" s="4"/>
      <c r="B800" s="4"/>
      <c r="C800" s="4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ht="19.5" customHeight="1" spans="1:27">
      <c r="A801" s="4"/>
      <c r="B801" s="4"/>
      <c r="C801" s="4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ht="19.5" customHeight="1" spans="1:27">
      <c r="A802" s="4"/>
      <c r="B802" s="4"/>
      <c r="C802" s="4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ht="19.5" customHeight="1" spans="1:27">
      <c r="A803" s="4"/>
      <c r="B803" s="4"/>
      <c r="C803" s="4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ht="19.5" customHeight="1" spans="1:27">
      <c r="A804" s="4"/>
      <c r="B804" s="4"/>
      <c r="C804" s="4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ht="19.5" customHeight="1" spans="1:27">
      <c r="A805" s="4"/>
      <c r="B805" s="4"/>
      <c r="C805" s="4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ht="19.5" customHeight="1" spans="1:27">
      <c r="A806" s="4"/>
      <c r="B806" s="4"/>
      <c r="C806" s="4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ht="19.5" customHeight="1" spans="1:27">
      <c r="A807" s="4"/>
      <c r="B807" s="4"/>
      <c r="C807" s="4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ht="19.5" customHeight="1" spans="1:27">
      <c r="A808" s="4"/>
      <c r="B808" s="4"/>
      <c r="C808" s="4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ht="19.5" customHeight="1" spans="1:27">
      <c r="A809" s="4"/>
      <c r="B809" s="4"/>
      <c r="C809" s="4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ht="19.5" customHeight="1" spans="1:27">
      <c r="A810" s="4"/>
      <c r="B810" s="4"/>
      <c r="C810" s="4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ht="19.5" customHeight="1" spans="1:27">
      <c r="A811" s="4"/>
      <c r="B811" s="4"/>
      <c r="C811" s="4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ht="19.5" customHeight="1" spans="1:27">
      <c r="A812" s="4"/>
      <c r="B812" s="4"/>
      <c r="C812" s="4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ht="19.5" customHeight="1" spans="1:27">
      <c r="A813" s="4"/>
      <c r="B813" s="4"/>
      <c r="C813" s="4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ht="19.5" customHeight="1" spans="1:27">
      <c r="A814" s="4"/>
      <c r="B814" s="4"/>
      <c r="C814" s="4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ht="19.5" customHeight="1" spans="1:27">
      <c r="A815" s="4"/>
      <c r="B815" s="4"/>
      <c r="C815" s="4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ht="19.5" customHeight="1" spans="1:27">
      <c r="A816" s="4"/>
      <c r="B816" s="4"/>
      <c r="C816" s="4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ht="19.5" customHeight="1" spans="1:27">
      <c r="A817" s="4"/>
      <c r="B817" s="4"/>
      <c r="C817" s="4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ht="19.5" customHeight="1" spans="1:27">
      <c r="A818" s="4"/>
      <c r="B818" s="4"/>
      <c r="C818" s="4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ht="19.5" customHeight="1" spans="1:27">
      <c r="A819" s="4"/>
      <c r="B819" s="4"/>
      <c r="C819" s="4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ht="19.5" customHeight="1" spans="1:27">
      <c r="A820" s="4"/>
      <c r="B820" s="4"/>
      <c r="C820" s="4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ht="19.5" customHeight="1" spans="1:27">
      <c r="A821" s="4"/>
      <c r="B821" s="4"/>
      <c r="C821" s="4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ht="19.5" customHeight="1" spans="1:27">
      <c r="A822" s="4"/>
      <c r="B822" s="4"/>
      <c r="C822" s="4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ht="19.5" customHeight="1" spans="1:27">
      <c r="A823" s="4"/>
      <c r="B823" s="4"/>
      <c r="C823" s="4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ht="19.5" customHeight="1" spans="1:27">
      <c r="A824" s="4"/>
      <c r="B824" s="4"/>
      <c r="C824" s="4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ht="19.5" customHeight="1" spans="1:27">
      <c r="A825" s="4"/>
      <c r="B825" s="4"/>
      <c r="C825" s="4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ht="19.5" customHeight="1" spans="1:27">
      <c r="A826" s="4"/>
      <c r="B826" s="4"/>
      <c r="C826" s="4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ht="19.5" customHeight="1" spans="1:27">
      <c r="A827" s="4"/>
      <c r="B827" s="4"/>
      <c r="C827" s="4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ht="19.5" customHeight="1" spans="1:27">
      <c r="A828" s="4"/>
      <c r="B828" s="4"/>
      <c r="C828" s="4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ht="19.5" customHeight="1" spans="1:27">
      <c r="A829" s="4"/>
      <c r="B829" s="4"/>
      <c r="C829" s="4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ht="19.5" customHeight="1" spans="1:27">
      <c r="A830" s="4"/>
      <c r="B830" s="4"/>
      <c r="C830" s="4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ht="19.5" customHeight="1" spans="1:27">
      <c r="A831" s="4"/>
      <c r="B831" s="4"/>
      <c r="C831" s="4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ht="19.5" customHeight="1" spans="1:27">
      <c r="A832" s="4"/>
      <c r="B832" s="4"/>
      <c r="C832" s="4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ht="19.5" customHeight="1" spans="1:27">
      <c r="A833" s="4"/>
      <c r="B833" s="4"/>
      <c r="C833" s="4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ht="19.5" customHeight="1" spans="1:27">
      <c r="A834" s="4"/>
      <c r="B834" s="4"/>
      <c r="C834" s="4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ht="19.5" customHeight="1" spans="1:27">
      <c r="A835" s="4"/>
      <c r="B835" s="4"/>
      <c r="C835" s="4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ht="19.5" customHeight="1" spans="1:27">
      <c r="A836" s="4"/>
      <c r="B836" s="4"/>
      <c r="C836" s="4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ht="19.5" customHeight="1" spans="1:27">
      <c r="A837" s="4"/>
      <c r="B837" s="4"/>
      <c r="C837" s="4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ht="19.5" customHeight="1" spans="1:27">
      <c r="A838" s="4"/>
      <c r="B838" s="4"/>
      <c r="C838" s="4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ht="19.5" customHeight="1" spans="1:27">
      <c r="A839" s="4"/>
      <c r="B839" s="4"/>
      <c r="C839" s="4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ht="19.5" customHeight="1" spans="1:27">
      <c r="A840" s="4"/>
      <c r="B840" s="4"/>
      <c r="C840" s="4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ht="19.5" customHeight="1" spans="1:27">
      <c r="A841" s="4"/>
      <c r="B841" s="4"/>
      <c r="C841" s="4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ht="19.5" customHeight="1" spans="1:27">
      <c r="A842" s="4"/>
      <c r="B842" s="4"/>
      <c r="C842" s="4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ht="19.5" customHeight="1" spans="1:27">
      <c r="A843" s="4"/>
      <c r="B843" s="4"/>
      <c r="C843" s="4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ht="19.5" customHeight="1" spans="1:27">
      <c r="A844" s="4"/>
      <c r="B844" s="4"/>
      <c r="C844" s="4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ht="19.5" customHeight="1" spans="1:27">
      <c r="A845" s="4"/>
      <c r="B845" s="4"/>
      <c r="C845" s="4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ht="19.5" customHeight="1" spans="1:27">
      <c r="A846" s="4"/>
      <c r="B846" s="4"/>
      <c r="C846" s="4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ht="19.5" customHeight="1" spans="1:27">
      <c r="A847" s="4"/>
      <c r="B847" s="4"/>
      <c r="C847" s="4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ht="19.5" customHeight="1" spans="1:27">
      <c r="A848" s="4"/>
      <c r="B848" s="4"/>
      <c r="C848" s="4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ht="19.5" customHeight="1" spans="1:27">
      <c r="A849" s="4"/>
      <c r="B849" s="4"/>
      <c r="C849" s="4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ht="19.5" customHeight="1" spans="1:27">
      <c r="A850" s="4"/>
      <c r="B850" s="4"/>
      <c r="C850" s="4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ht="19.5" customHeight="1" spans="1:27">
      <c r="A851" s="4"/>
      <c r="B851" s="4"/>
      <c r="C851" s="4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ht="19.5" customHeight="1" spans="1:27">
      <c r="A852" s="4"/>
      <c r="B852" s="4"/>
      <c r="C852" s="4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ht="19.5" customHeight="1" spans="1:27">
      <c r="A853" s="4"/>
      <c r="B853" s="4"/>
      <c r="C853" s="4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ht="19.5" customHeight="1" spans="1:27">
      <c r="A854" s="4"/>
      <c r="B854" s="4"/>
      <c r="C854" s="4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ht="19.5" customHeight="1" spans="1:27">
      <c r="A855" s="4"/>
      <c r="B855" s="4"/>
      <c r="C855" s="4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ht="19.5" customHeight="1" spans="1:27">
      <c r="A856" s="4"/>
      <c r="B856" s="4"/>
      <c r="C856" s="4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ht="19.5" customHeight="1" spans="1:27">
      <c r="A857" s="4"/>
      <c r="B857" s="4"/>
      <c r="C857" s="4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ht="19.5" customHeight="1" spans="1:27">
      <c r="A858" s="4"/>
      <c r="B858" s="4"/>
      <c r="C858" s="4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ht="19.5" customHeight="1" spans="1:27">
      <c r="A859" s="4"/>
      <c r="B859" s="4"/>
      <c r="C859" s="4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ht="19.5" customHeight="1" spans="1:27">
      <c r="A860" s="4"/>
      <c r="B860" s="4"/>
      <c r="C860" s="4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ht="19.5" customHeight="1" spans="1:27">
      <c r="A861" s="4"/>
      <c r="B861" s="4"/>
      <c r="C861" s="4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ht="19.5" customHeight="1" spans="1:27">
      <c r="A862" s="4"/>
      <c r="B862" s="4"/>
      <c r="C862" s="4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ht="19.5" customHeight="1" spans="1:27">
      <c r="A863" s="4"/>
      <c r="B863" s="4"/>
      <c r="C863" s="4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ht="19.5" customHeight="1" spans="1:27">
      <c r="A864" s="4"/>
      <c r="B864" s="4"/>
      <c r="C864" s="4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ht="19.5" customHeight="1" spans="1:27">
      <c r="A865" s="4"/>
      <c r="B865" s="4"/>
      <c r="C865" s="4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ht="19.5" customHeight="1" spans="1:27">
      <c r="A866" s="4"/>
      <c r="B866" s="4"/>
      <c r="C866" s="4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ht="19.5" customHeight="1" spans="1:27">
      <c r="A867" s="4"/>
      <c r="B867" s="4"/>
      <c r="C867" s="4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ht="19.5" customHeight="1" spans="1:27">
      <c r="A868" s="4"/>
      <c r="B868" s="4"/>
      <c r="C868" s="4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ht="19.5" customHeight="1" spans="1:27">
      <c r="A869" s="4"/>
      <c r="B869" s="4"/>
      <c r="C869" s="4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ht="19.5" customHeight="1" spans="1:27">
      <c r="A870" s="4"/>
      <c r="B870" s="4"/>
      <c r="C870" s="4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ht="19.5" customHeight="1" spans="1:27">
      <c r="A871" s="4"/>
      <c r="B871" s="4"/>
      <c r="C871" s="4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ht="19.5" customHeight="1" spans="1:27">
      <c r="A872" s="4"/>
      <c r="B872" s="4"/>
      <c r="C872" s="4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ht="19.5" customHeight="1" spans="1:27">
      <c r="A873" s="4"/>
      <c r="B873" s="4"/>
      <c r="C873" s="4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ht="19.5" customHeight="1" spans="1:27">
      <c r="A874" s="4"/>
      <c r="B874" s="4"/>
      <c r="C874" s="4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ht="19.5" customHeight="1" spans="1:27">
      <c r="A875" s="4"/>
      <c r="B875" s="4"/>
      <c r="C875" s="4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ht="19.5" customHeight="1" spans="1:27">
      <c r="A876" s="4"/>
      <c r="B876" s="4"/>
      <c r="C876" s="4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ht="19.5" customHeight="1" spans="1:27">
      <c r="A877" s="4"/>
      <c r="B877" s="4"/>
      <c r="C877" s="4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ht="19.5" customHeight="1" spans="1:27">
      <c r="A878" s="4"/>
      <c r="B878" s="4"/>
      <c r="C878" s="4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ht="19.5" customHeight="1" spans="1:27">
      <c r="A879" s="4"/>
      <c r="B879" s="4"/>
      <c r="C879" s="4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ht="19.5" customHeight="1" spans="1:27">
      <c r="A880" s="4"/>
      <c r="B880" s="4"/>
      <c r="C880" s="4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ht="19.5" customHeight="1" spans="1:27">
      <c r="A881" s="4"/>
      <c r="B881" s="4"/>
      <c r="C881" s="4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ht="19.5" customHeight="1" spans="1:27">
      <c r="A882" s="4"/>
      <c r="B882" s="4"/>
      <c r="C882" s="4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ht="19.5" customHeight="1" spans="1:27">
      <c r="A883" s="4"/>
      <c r="B883" s="4"/>
      <c r="C883" s="4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ht="19.5" customHeight="1" spans="1:27">
      <c r="A884" s="4"/>
      <c r="B884" s="4"/>
      <c r="C884" s="4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ht="19.5" customHeight="1" spans="1:27">
      <c r="A885" s="4"/>
      <c r="B885" s="4"/>
      <c r="C885" s="4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ht="19.5" customHeight="1" spans="1:27">
      <c r="A886" s="4"/>
      <c r="B886" s="4"/>
      <c r="C886" s="4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ht="19.5" customHeight="1" spans="1:27">
      <c r="A887" s="4"/>
      <c r="B887" s="4"/>
      <c r="C887" s="4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ht="19.5" customHeight="1" spans="1:27">
      <c r="A888" s="4"/>
      <c r="B888" s="4"/>
      <c r="C888" s="4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ht="19.5" customHeight="1" spans="1:27">
      <c r="A889" s="4"/>
      <c r="B889" s="4"/>
      <c r="C889" s="4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ht="19.5" customHeight="1" spans="1:27">
      <c r="A890" s="4"/>
      <c r="B890" s="4"/>
      <c r="C890" s="4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ht="19.5" customHeight="1" spans="1:27">
      <c r="A891" s="4"/>
      <c r="B891" s="4"/>
      <c r="C891" s="4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ht="19.5" customHeight="1" spans="1:27">
      <c r="A892" s="4"/>
      <c r="B892" s="4"/>
      <c r="C892" s="4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ht="19.5" customHeight="1" spans="1:27">
      <c r="A893" s="4"/>
      <c r="B893" s="4"/>
      <c r="C893" s="4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ht="19.5" customHeight="1" spans="1:27">
      <c r="A894" s="4"/>
      <c r="B894" s="4"/>
      <c r="C894" s="4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ht="19.5" customHeight="1" spans="1:27">
      <c r="A895" s="4"/>
      <c r="B895" s="4"/>
      <c r="C895" s="4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ht="19.5" customHeight="1" spans="1:27">
      <c r="A896" s="4"/>
      <c r="B896" s="4"/>
      <c r="C896" s="4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ht="19.5" customHeight="1" spans="1:27">
      <c r="A897" s="4"/>
      <c r="B897" s="4"/>
      <c r="C897" s="4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ht="19.5" customHeight="1" spans="1:27">
      <c r="A898" s="4"/>
      <c r="B898" s="4"/>
      <c r="C898" s="4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ht="19.5" customHeight="1" spans="1:27">
      <c r="A899" s="4"/>
      <c r="B899" s="4"/>
      <c r="C899" s="4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ht="19.5" customHeight="1" spans="1:27">
      <c r="A900" s="4"/>
      <c r="B900" s="4"/>
      <c r="C900" s="4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ht="19.5" customHeight="1" spans="1:27">
      <c r="A901" s="4"/>
      <c r="B901" s="4"/>
      <c r="C901" s="4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ht="19.5" customHeight="1" spans="1:27">
      <c r="A902" s="4"/>
      <c r="B902" s="4"/>
      <c r="C902" s="4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ht="19.5" customHeight="1" spans="1:27">
      <c r="A903" s="4"/>
      <c r="B903" s="4"/>
      <c r="C903" s="4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ht="19.5" customHeight="1" spans="1:27">
      <c r="A904" s="4"/>
      <c r="B904" s="4"/>
      <c r="C904" s="4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ht="19.5" customHeight="1" spans="1:27">
      <c r="A905" s="4"/>
      <c r="B905" s="4"/>
      <c r="C905" s="4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ht="19.5" customHeight="1" spans="1:27">
      <c r="A906" s="4"/>
      <c r="B906" s="4"/>
      <c r="C906" s="4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ht="19.5" customHeight="1" spans="1:27">
      <c r="A907" s="4"/>
      <c r="B907" s="4"/>
      <c r="C907" s="4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ht="19.5" customHeight="1" spans="1:27">
      <c r="A908" s="4"/>
      <c r="B908" s="4"/>
      <c r="C908" s="4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ht="19.5" customHeight="1" spans="1:27">
      <c r="A909" s="4"/>
      <c r="B909" s="4"/>
      <c r="C909" s="4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ht="19.5" customHeight="1" spans="1:27">
      <c r="A910" s="4"/>
      <c r="B910" s="4"/>
      <c r="C910" s="4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ht="19.5" customHeight="1" spans="1:27">
      <c r="A911" s="4"/>
      <c r="B911" s="4"/>
      <c r="C911" s="4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ht="19.5" customHeight="1" spans="1:27">
      <c r="A912" s="4"/>
      <c r="B912" s="4"/>
      <c r="C912" s="4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ht="19.5" customHeight="1" spans="1:27">
      <c r="A913" s="4"/>
      <c r="B913" s="4"/>
      <c r="C913" s="4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ht="19.5" customHeight="1" spans="1:27">
      <c r="A914" s="4"/>
      <c r="B914" s="4"/>
      <c r="C914" s="4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ht="19.5" customHeight="1" spans="1:27">
      <c r="A915" s="4"/>
      <c r="B915" s="4"/>
      <c r="C915" s="4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ht="19.5" customHeight="1" spans="1:27">
      <c r="A916" s="4"/>
      <c r="B916" s="4"/>
      <c r="C916" s="4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ht="19.5" customHeight="1" spans="1:27">
      <c r="A917" s="4"/>
      <c r="B917" s="4"/>
      <c r="C917" s="4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ht="19.5" customHeight="1" spans="1:27">
      <c r="A918" s="4"/>
      <c r="B918" s="4"/>
      <c r="C918" s="4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ht="19.5" customHeight="1" spans="1:27">
      <c r="A919" s="4"/>
      <c r="B919" s="4"/>
      <c r="C919" s="4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ht="19.5" customHeight="1" spans="1:27">
      <c r="A920" s="4"/>
      <c r="B920" s="4"/>
      <c r="C920" s="4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ht="19.5" customHeight="1" spans="1:27">
      <c r="A921" s="4"/>
      <c r="B921" s="4"/>
      <c r="C921" s="4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ht="19.5" customHeight="1" spans="1:27">
      <c r="A922" s="4"/>
      <c r="B922" s="4"/>
      <c r="C922" s="4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ht="19.5" customHeight="1" spans="1:27">
      <c r="A923" s="4"/>
      <c r="B923" s="4"/>
      <c r="C923" s="4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ht="19.5" customHeight="1" spans="1:27">
      <c r="A924" s="4"/>
      <c r="B924" s="4"/>
      <c r="C924" s="4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ht="19.5" customHeight="1" spans="1:27">
      <c r="A925" s="4"/>
      <c r="B925" s="4"/>
      <c r="C925" s="4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ht="19.5" customHeight="1" spans="1:27">
      <c r="A926" s="4"/>
      <c r="B926" s="4"/>
      <c r="C926" s="4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ht="19.5" customHeight="1" spans="1:27">
      <c r="A927" s="4"/>
      <c r="B927" s="4"/>
      <c r="C927" s="4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ht="19.5" customHeight="1" spans="1:27">
      <c r="A928" s="4"/>
      <c r="B928" s="4"/>
      <c r="C928" s="4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ht="19.5" customHeight="1" spans="1:27">
      <c r="A929" s="4"/>
      <c r="B929" s="4"/>
      <c r="C929" s="4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ht="19.5" customHeight="1" spans="1:27">
      <c r="A930" s="4"/>
      <c r="B930" s="4"/>
      <c r="C930" s="4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ht="19.5" customHeight="1" spans="1:27">
      <c r="A931" s="4"/>
      <c r="B931" s="4"/>
      <c r="C931" s="4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ht="19.5" customHeight="1" spans="1:27">
      <c r="A932" s="4"/>
      <c r="B932" s="4"/>
      <c r="C932" s="4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ht="19.5" customHeight="1" spans="1:27">
      <c r="A933" s="4"/>
      <c r="B933" s="4"/>
      <c r="C933" s="4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ht="19.5" customHeight="1" spans="1:27">
      <c r="A934" s="4"/>
      <c r="B934" s="4"/>
      <c r="C934" s="4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ht="19.5" customHeight="1" spans="1:27">
      <c r="A935" s="4"/>
      <c r="B935" s="4"/>
      <c r="C935" s="4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ht="19.5" customHeight="1" spans="1:27">
      <c r="A936" s="4"/>
      <c r="B936" s="4"/>
      <c r="C936" s="4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ht="19.5" customHeight="1" spans="1:27">
      <c r="A937" s="4"/>
      <c r="B937" s="4"/>
      <c r="C937" s="4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ht="19.5" customHeight="1" spans="1:27">
      <c r="A938" s="4"/>
      <c r="B938" s="4"/>
      <c r="C938" s="4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ht="19.5" customHeight="1" spans="1:27">
      <c r="A939" s="4"/>
      <c r="B939" s="4"/>
      <c r="C939" s="4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ht="19.5" customHeight="1" spans="1:27">
      <c r="A940" s="4"/>
      <c r="B940" s="4"/>
      <c r="C940" s="4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ht="19.5" customHeight="1" spans="1:27">
      <c r="A941" s="4"/>
      <c r="B941" s="4"/>
      <c r="C941" s="4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ht="19.5" customHeight="1" spans="1:27">
      <c r="A942" s="4"/>
      <c r="B942" s="4"/>
      <c r="C942" s="4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ht="19.5" customHeight="1" spans="1:27">
      <c r="A943" s="4"/>
      <c r="B943" s="4"/>
      <c r="C943" s="4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ht="19.5" customHeight="1" spans="1:27">
      <c r="A944" s="4"/>
      <c r="B944" s="4"/>
      <c r="C944" s="4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ht="19.5" customHeight="1" spans="1:27">
      <c r="A945" s="4"/>
      <c r="B945" s="4"/>
      <c r="C945" s="4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ht="19.5" customHeight="1" spans="1:27">
      <c r="A946" s="4"/>
      <c r="B946" s="4"/>
      <c r="C946" s="4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ht="19.5" customHeight="1" spans="1:27">
      <c r="A947" s="4"/>
      <c r="B947" s="4"/>
      <c r="C947" s="4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ht="19.5" customHeight="1" spans="1:27">
      <c r="A948" s="4"/>
      <c r="B948" s="4"/>
      <c r="C948" s="4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ht="19.5" customHeight="1" spans="1:27">
      <c r="A949" s="4"/>
      <c r="B949" s="4"/>
      <c r="C949" s="4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ht="19.5" customHeight="1" spans="1:27">
      <c r="A950" s="4"/>
      <c r="B950" s="4"/>
      <c r="C950" s="4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ht="19.5" customHeight="1" spans="1:27">
      <c r="A951" s="4"/>
      <c r="B951" s="4"/>
      <c r="C951" s="4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ht="19.5" customHeight="1" spans="1:27">
      <c r="A952" s="4"/>
      <c r="B952" s="4"/>
      <c r="C952" s="4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ht="19.5" customHeight="1" spans="1:27">
      <c r="A953" s="4"/>
      <c r="B953" s="4"/>
      <c r="C953" s="4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ht="19.5" customHeight="1" spans="1:27">
      <c r="A954" s="4"/>
      <c r="B954" s="4"/>
      <c r="C954" s="4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ht="19.5" customHeight="1" spans="1:27">
      <c r="A955" s="4"/>
      <c r="B955" s="4"/>
      <c r="C955" s="4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ht="19.5" customHeight="1" spans="1:27">
      <c r="A956" s="4"/>
      <c r="B956" s="4"/>
      <c r="C956" s="4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ht="19.5" customHeight="1" spans="1:27">
      <c r="A957" s="4"/>
      <c r="B957" s="4"/>
      <c r="C957" s="4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ht="19.5" customHeight="1" spans="1:27">
      <c r="A958" s="4"/>
      <c r="B958" s="4"/>
      <c r="C958" s="4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ht="19.5" customHeight="1" spans="1:27">
      <c r="A959" s="4"/>
      <c r="B959" s="4"/>
      <c r="C959" s="4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ht="19.5" customHeight="1" spans="1:27">
      <c r="A960" s="4"/>
      <c r="B960" s="4"/>
      <c r="C960" s="4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ht="19.5" customHeight="1" spans="1:27">
      <c r="A961" s="4"/>
      <c r="B961" s="4"/>
      <c r="C961" s="4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ht="19.5" customHeight="1" spans="1:27">
      <c r="A962" s="4"/>
      <c r="B962" s="4"/>
      <c r="C962" s="4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ht="19.5" customHeight="1" spans="1:27">
      <c r="A963" s="4"/>
      <c r="B963" s="4"/>
      <c r="C963" s="4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ht="19.5" customHeight="1" spans="1:27">
      <c r="A964" s="4"/>
      <c r="B964" s="4"/>
      <c r="C964" s="4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ht="19.5" customHeight="1" spans="1:27">
      <c r="A965" s="4"/>
      <c r="B965" s="4"/>
      <c r="C965" s="4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ht="19.5" customHeight="1" spans="1:27">
      <c r="A966" s="4"/>
      <c r="B966" s="4"/>
      <c r="C966" s="4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ht="19.5" customHeight="1" spans="1:27">
      <c r="A967" s="4"/>
      <c r="B967" s="4"/>
      <c r="C967" s="4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ht="19.5" customHeight="1" spans="1:27">
      <c r="A968" s="4"/>
      <c r="B968" s="4"/>
      <c r="C968" s="4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ht="19.5" customHeight="1" spans="1:27">
      <c r="A969" s="4"/>
      <c r="B969" s="4"/>
      <c r="C969" s="4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ht="19.5" customHeight="1" spans="1:27">
      <c r="A970" s="4"/>
      <c r="B970" s="4"/>
      <c r="C970" s="4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ht="19.5" customHeight="1" spans="1:27">
      <c r="A971" s="4"/>
      <c r="B971" s="4"/>
      <c r="C971" s="4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ht="19.5" customHeight="1" spans="1:27">
      <c r="A972" s="4"/>
      <c r="B972" s="4"/>
      <c r="C972" s="4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ht="19.5" customHeight="1" spans="1:27">
      <c r="A973" s="4"/>
      <c r="B973" s="4"/>
      <c r="C973" s="4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ht="19.5" customHeight="1" spans="1:27">
      <c r="A974" s="4"/>
      <c r="B974" s="4"/>
      <c r="C974" s="4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ht="19.5" customHeight="1" spans="1:27">
      <c r="A975" s="4"/>
      <c r="B975" s="4"/>
      <c r="C975" s="4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ht="19.5" customHeight="1" spans="1:27">
      <c r="A976" s="4"/>
      <c r="B976" s="4"/>
      <c r="C976" s="4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ht="19.5" customHeight="1" spans="1:27">
      <c r="A977" s="4"/>
      <c r="B977" s="4"/>
      <c r="C977" s="4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ht="19.5" customHeight="1" spans="1:27">
      <c r="A978" s="4"/>
      <c r="B978" s="4"/>
      <c r="C978" s="4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ht="19.5" customHeight="1" spans="1:27">
      <c r="A979" s="4"/>
      <c r="B979" s="4"/>
      <c r="C979" s="4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ht="19.5" customHeight="1" spans="1:27">
      <c r="A980" s="4"/>
      <c r="B980" s="4"/>
      <c r="C980" s="4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ht="19.5" customHeight="1" spans="1:27">
      <c r="A981" s="4"/>
      <c r="B981" s="4"/>
      <c r="C981" s="4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ht="19.5" customHeight="1" spans="1:27">
      <c r="A982" s="4"/>
      <c r="B982" s="4"/>
      <c r="C982" s="4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ht="19.5" customHeight="1" spans="1:27">
      <c r="A983" s="4"/>
      <c r="B983" s="4"/>
      <c r="C983" s="4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ht="19.5" customHeight="1" spans="1:27">
      <c r="A984" s="4"/>
      <c r="B984" s="4"/>
      <c r="C984" s="4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ht="19.5" customHeight="1" spans="1:27">
      <c r="A985" s="4"/>
      <c r="B985" s="4"/>
      <c r="C985" s="4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ht="19.5" customHeight="1" spans="1:27">
      <c r="A986" s="4"/>
      <c r="B986" s="4"/>
      <c r="C986" s="4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ht="19.5" customHeight="1" spans="1:27">
      <c r="A987" s="4"/>
      <c r="B987" s="4"/>
      <c r="C987" s="4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ht="19.5" customHeight="1" spans="1:27">
      <c r="A988" s="4"/>
      <c r="B988" s="4"/>
      <c r="C988" s="4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ht="19.5" customHeight="1" spans="1:27">
      <c r="A989" s="4"/>
      <c r="B989" s="4"/>
      <c r="C989" s="4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ht="19.5" customHeight="1" spans="1:27">
      <c r="A990" s="4"/>
      <c r="B990" s="4"/>
      <c r="C990" s="4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ht="19.5" customHeight="1" spans="1:27">
      <c r="A991" s="4"/>
      <c r="B991" s="4"/>
      <c r="C991" s="4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ht="19.5" customHeight="1" spans="1:27">
      <c r="A992" s="4"/>
      <c r="B992" s="4"/>
      <c r="C992" s="4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ht="19.5" customHeight="1" spans="1:27">
      <c r="A993" s="4"/>
      <c r="B993" s="4"/>
      <c r="C993" s="4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ht="19.5" customHeight="1" spans="1:27">
      <c r="A994" s="4"/>
      <c r="B994" s="4"/>
      <c r="C994" s="4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ht="19.5" customHeight="1" spans="1:27">
      <c r="A995" s="4"/>
      <c r="B995" s="4"/>
      <c r="C995" s="4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ht="19.5" customHeight="1" spans="1:27">
      <c r="A996" s="4"/>
      <c r="B996" s="4"/>
      <c r="C996" s="4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ht="19.5" customHeight="1" spans="1:27">
      <c r="A997" s="4"/>
      <c r="B997" s="4"/>
      <c r="C997" s="4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ht="19.5" customHeight="1" spans="1:27">
      <c r="A998" s="4"/>
      <c r="B998" s="4"/>
      <c r="C998" s="4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ht="19.5" customHeight="1" spans="1:27">
      <c r="A999" s="4"/>
      <c r="B999" s="4"/>
      <c r="C999" s="4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ht="19.5" customHeight="1" spans="1:27">
      <c r="A1000" s="4"/>
      <c r="B1000" s="4"/>
      <c r="C1000" s="4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</sheetData>
  <mergeCells count="5">
    <mergeCell ref="B20:B22"/>
    <mergeCell ref="B23:B25"/>
    <mergeCell ref="B27:B28"/>
    <mergeCell ref="B30:B31"/>
    <mergeCell ref="B34:B35"/>
  </mergeCells>
  <printOptions horizontalCentered="1" verticalCentered="1"/>
  <pageMargins left="0" right="0" top="0" bottom="0" header="0" footer="0"/>
  <pageSetup paperSize="8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jeyas</cp:lastModifiedBy>
  <dcterms:created xsi:type="dcterms:W3CDTF">2021-11-15T09:14:00Z</dcterms:created>
  <dcterms:modified xsi:type="dcterms:W3CDTF">2026-10-08T09:15:52Z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D293E056CF3D4977AA56D5325B678BBE_12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